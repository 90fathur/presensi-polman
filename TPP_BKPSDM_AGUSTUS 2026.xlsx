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AJI_2026\TPP TAHUN 2026\"/>
    </mc:Choice>
  </mc:AlternateContent>
  <xr:revisionPtr revIDLastSave="0" documentId="13_ncr:1_{169B66AB-4A7D-4CBB-A35A-0597645917E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bel_Perhitungan" sheetId="20" r:id="rId1"/>
    <sheet name="PK PNS" sheetId="1" r:id="rId2"/>
    <sheet name="TPP BK" sheetId="11" r:id="rId3"/>
    <sheet name="TPP KK" sheetId="32" r:id="rId4"/>
    <sheet name="TPP REKAP BK&amp;KK" sheetId="33" r:id="rId5"/>
    <sheet name="Sheet1" sheetId="30" r:id="rId6"/>
    <sheet name="REKENING" sheetId="15" r:id="rId7"/>
    <sheet name="Sheet4" sheetId="27" r:id="rId8"/>
    <sheet name="Sheet2" sheetId="26" r:id="rId9"/>
    <sheet name="Sheet3" sheetId="31" r:id="rId10"/>
    <sheet name="Sheet5" sheetId="34" r:id="rId11"/>
  </sheets>
  <externalReferences>
    <externalReference r:id="rId12"/>
    <externalReference r:id="rId13"/>
    <externalReference r:id="rId14"/>
    <externalReference r:id="rId15"/>
  </externalReferences>
  <definedNames>
    <definedName name="_xlnm.Print_Titles" localSheetId="1">'PK PNS'!$6:$8</definedName>
    <definedName name="_xlnm.Print_Titles" localSheetId="6">REKENING!$6:$8</definedName>
    <definedName name="_xlnm.Print_Titles" localSheetId="0">Tabel_Perhitungan!$6:$10</definedName>
    <definedName name="_xlnm.Print_Titles" localSheetId="2">'TPP BK'!$8:$10</definedName>
    <definedName name="_xlnm.Print_Titles" localSheetId="3">'TPP KK'!$8:$10</definedName>
    <definedName name="_xlnm.Print_Titles" localSheetId="4">'TPP REKAP BK&amp;KK'!$8:$10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1" l="1"/>
  <c r="V12" i="11" a="1"/>
  <c r="V12" i="11" s="1"/>
  <c r="V11" i="11" a="1"/>
  <c r="V11" i="11" s="1"/>
  <c r="W11" i="11" s="1"/>
  <c r="U12" i="11" a="1"/>
  <c r="U12" i="11" s="1"/>
  <c r="U11" i="11"/>
  <c r="AC124" i="33" l="1"/>
  <c r="AB124" i="33" l="1"/>
  <c r="AE124" i="33"/>
  <c r="W66" i="33" l="1"/>
  <c r="AC126" i="33" l="1"/>
  <c r="AB126" i="33" l="1"/>
  <c r="AE126" i="33"/>
  <c r="AC122" i="33" l="1"/>
  <c r="AB122" i="33" l="1"/>
  <c r="AE122" i="33" l="1"/>
  <c r="M36" i="11" l="1"/>
  <c r="M38" i="11"/>
  <c r="M40" i="11"/>
  <c r="M42" i="11"/>
  <c r="M44" i="11"/>
  <c r="M46" i="11"/>
  <c r="M48" i="11"/>
  <c r="M50" i="11"/>
  <c r="M52" i="11"/>
  <c r="M54" i="11"/>
  <c r="M56" i="11"/>
  <c r="M58" i="11"/>
  <c r="M60" i="11"/>
  <c r="M62" i="11"/>
  <c r="M64" i="11"/>
  <c r="M66" i="11"/>
  <c r="M68" i="11"/>
  <c r="M70" i="11"/>
  <c r="M72" i="11"/>
  <c r="M74" i="11"/>
  <c r="M76" i="11"/>
  <c r="M78" i="11"/>
  <c r="M80" i="11"/>
  <c r="M82" i="11"/>
  <c r="M84" i="11"/>
  <c r="M86" i="11"/>
  <c r="M88" i="11"/>
  <c r="M90" i="11"/>
  <c r="M92" i="11"/>
  <c r="M94" i="11"/>
  <c r="M96" i="11"/>
  <c r="M98" i="11"/>
  <c r="M100" i="11"/>
  <c r="M102" i="11"/>
  <c r="M104" i="11"/>
  <c r="M106" i="11"/>
  <c r="M108" i="11"/>
  <c r="M110" i="11"/>
  <c r="M112" i="11"/>
  <c r="M114" i="11"/>
  <c r="M116" i="11"/>
  <c r="M118" i="11"/>
  <c r="M14" i="11"/>
  <c r="M16" i="11"/>
  <c r="M18" i="11"/>
  <c r="M20" i="11"/>
  <c r="M22" i="11"/>
  <c r="M24" i="11"/>
  <c r="M26" i="11"/>
  <c r="M28" i="11"/>
  <c r="M30" i="11"/>
  <c r="M32" i="11"/>
  <c r="M34" i="11"/>
  <c r="E14" i="11"/>
  <c r="E16" i="11"/>
  <c r="E18" i="11"/>
  <c r="E20" i="11"/>
  <c r="E22" i="11"/>
  <c r="E24" i="11"/>
  <c r="E26" i="11"/>
  <c r="E28" i="11"/>
  <c r="E30" i="11"/>
  <c r="E32" i="11"/>
  <c r="E34" i="11"/>
  <c r="E36" i="11"/>
  <c r="E38" i="11"/>
  <c r="E40" i="11"/>
  <c r="E42" i="11"/>
  <c r="E44" i="11"/>
  <c r="E46" i="11"/>
  <c r="E48" i="11"/>
  <c r="E50" i="11"/>
  <c r="E52" i="11"/>
  <c r="E54" i="11"/>
  <c r="E56" i="11"/>
  <c r="E58" i="11"/>
  <c r="E60" i="11"/>
  <c r="E62" i="11"/>
  <c r="E64" i="11"/>
  <c r="E66" i="11"/>
  <c r="E68" i="11"/>
  <c r="E70" i="11"/>
  <c r="E72" i="11"/>
  <c r="E74" i="11"/>
  <c r="E76" i="11"/>
  <c r="E78" i="11"/>
  <c r="E80" i="11"/>
  <c r="E82" i="11"/>
  <c r="E84" i="11"/>
  <c r="E86" i="11"/>
  <c r="E88" i="11"/>
  <c r="E90" i="11"/>
  <c r="E92" i="11"/>
  <c r="E94" i="11"/>
  <c r="E96" i="11"/>
  <c r="E98" i="11"/>
  <c r="E100" i="11"/>
  <c r="E102" i="11"/>
  <c r="E104" i="11"/>
  <c r="E106" i="11"/>
  <c r="E108" i="11"/>
  <c r="E110" i="11"/>
  <c r="E112" i="11"/>
  <c r="E114" i="11"/>
  <c r="E116" i="11"/>
  <c r="E118" i="11"/>
  <c r="J52" i="34" l="1"/>
  <c r="I50" i="34"/>
  <c r="I52" i="34"/>
  <c r="I51" i="34"/>
  <c r="H53" i="34"/>
  <c r="D55" i="34"/>
  <c r="C55" i="34" l="1"/>
  <c r="Q12" i="20" l="1"/>
  <c r="R12" i="20"/>
  <c r="S12" i="20"/>
  <c r="T12" i="20"/>
  <c r="U12" i="20"/>
  <c r="V12" i="20"/>
  <c r="W12" i="20"/>
  <c r="X12" i="20"/>
  <c r="Y12" i="20"/>
  <c r="Z12" i="20"/>
  <c r="AA12" i="20"/>
  <c r="E12" i="11"/>
  <c r="G12" i="11"/>
  <c r="H12" i="11" s="1"/>
  <c r="J12" i="11"/>
  <c r="F118" i="33"/>
  <c r="F116" i="33"/>
  <c r="F114" i="33"/>
  <c r="F112" i="33"/>
  <c r="F110" i="33"/>
  <c r="F108" i="33"/>
  <c r="F106" i="33"/>
  <c r="F104" i="33"/>
  <c r="F102" i="33"/>
  <c r="F100" i="33"/>
  <c r="F98" i="33"/>
  <c r="F96" i="33"/>
  <c r="F94" i="33"/>
  <c r="AB12" i="20" l="1"/>
  <c r="I12" i="11"/>
  <c r="K12" i="11" s="1"/>
  <c r="L12" i="11"/>
  <c r="M12" i="11" l="1"/>
  <c r="N12" i="11" s="1"/>
  <c r="O12" i="11" s="1"/>
  <c r="Q12" i="11" l="1"/>
  <c r="R12" i="11" s="1"/>
  <c r="F96" i="11" l="1"/>
  <c r="F98" i="11"/>
  <c r="F100" i="11"/>
  <c r="F102" i="11"/>
  <c r="F104" i="11"/>
  <c r="F106" i="11"/>
  <c r="F108" i="11"/>
  <c r="F110" i="11"/>
  <c r="F112" i="11"/>
  <c r="F114" i="11"/>
  <c r="F116" i="11"/>
  <c r="F118" i="11"/>
  <c r="F94" i="11"/>
  <c r="H14" i="33"/>
  <c r="L14" i="33"/>
  <c r="E14" i="33"/>
  <c r="J14" i="11"/>
  <c r="G14" i="11"/>
  <c r="H14" i="11" s="1"/>
  <c r="AA14" i="20"/>
  <c r="Z14" i="20"/>
  <c r="Y14" i="20"/>
  <c r="X14" i="20"/>
  <c r="W14" i="20"/>
  <c r="V14" i="20"/>
  <c r="U14" i="20"/>
  <c r="T14" i="20"/>
  <c r="S14" i="20"/>
  <c r="R14" i="20"/>
  <c r="Q14" i="20"/>
  <c r="I14" i="33" l="1"/>
  <c r="J14" i="33" s="1"/>
  <c r="L14" i="11"/>
  <c r="I14" i="11"/>
  <c r="K14" i="11" s="1"/>
  <c r="AB14" i="20"/>
  <c r="F120" i="11"/>
  <c r="F120" i="33"/>
  <c r="H16" i="33"/>
  <c r="H18" i="33"/>
  <c r="H20" i="33"/>
  <c r="H22" i="33"/>
  <c r="H24" i="33"/>
  <c r="H26" i="33"/>
  <c r="H28" i="33"/>
  <c r="H30" i="33"/>
  <c r="H32" i="33"/>
  <c r="H34" i="33"/>
  <c r="H36" i="33"/>
  <c r="H38" i="33"/>
  <c r="H40" i="33"/>
  <c r="H42" i="33"/>
  <c r="H44" i="33"/>
  <c r="H46" i="33"/>
  <c r="H48" i="33"/>
  <c r="H50" i="33"/>
  <c r="H52" i="33"/>
  <c r="H54" i="33"/>
  <c r="H56" i="33"/>
  <c r="H58" i="33"/>
  <c r="H60" i="33"/>
  <c r="H62" i="33"/>
  <c r="H64" i="33"/>
  <c r="H66" i="33"/>
  <c r="H68" i="33"/>
  <c r="H70" i="33"/>
  <c r="H72" i="33"/>
  <c r="H74" i="33"/>
  <c r="H76" i="33"/>
  <c r="H78" i="33"/>
  <c r="H80" i="33"/>
  <c r="H82" i="33"/>
  <c r="H84" i="33"/>
  <c r="H86" i="33"/>
  <c r="H88" i="33"/>
  <c r="H90" i="33"/>
  <c r="H92" i="33"/>
  <c r="H94" i="33"/>
  <c r="H96" i="33"/>
  <c r="H98" i="33"/>
  <c r="H100" i="33"/>
  <c r="H102" i="33"/>
  <c r="H104" i="33"/>
  <c r="H106" i="33"/>
  <c r="H108" i="33"/>
  <c r="H110" i="33"/>
  <c r="H112" i="33"/>
  <c r="H114" i="33"/>
  <c r="H116" i="33"/>
  <c r="H118" i="33"/>
  <c r="N14" i="33" l="1"/>
  <c r="K14" i="33"/>
  <c r="M14" i="33" s="1"/>
  <c r="AD126" i="33"/>
  <c r="AF126" i="33" s="1"/>
  <c r="N14" i="11"/>
  <c r="O14" i="11" s="1"/>
  <c r="AD122" i="33"/>
  <c r="AF122" i="33" s="1"/>
  <c r="Z16" i="20"/>
  <c r="Z18" i="20"/>
  <c r="Z20" i="20"/>
  <c r="Z22" i="20"/>
  <c r="Z24" i="20"/>
  <c r="Z26" i="20"/>
  <c r="Z28" i="20"/>
  <c r="Z30" i="20"/>
  <c r="Z32" i="20"/>
  <c r="Z34" i="20"/>
  <c r="Z36" i="20"/>
  <c r="Z38" i="20"/>
  <c r="Z40" i="20"/>
  <c r="Z42" i="20"/>
  <c r="Z44" i="20"/>
  <c r="Z46" i="20"/>
  <c r="Z48" i="20"/>
  <c r="Z50" i="20"/>
  <c r="Z52" i="20"/>
  <c r="Z54" i="20"/>
  <c r="Z56" i="20"/>
  <c r="Z58" i="20"/>
  <c r="Z60" i="20"/>
  <c r="Z62" i="20"/>
  <c r="Z64" i="20"/>
  <c r="Z66" i="20"/>
  <c r="Z68" i="20"/>
  <c r="Z70" i="20"/>
  <c r="Z72" i="20"/>
  <c r="Z74" i="20"/>
  <c r="Z76" i="20"/>
  <c r="Z78" i="20"/>
  <c r="Z80" i="20"/>
  <c r="Z82" i="20"/>
  <c r="Z84" i="20"/>
  <c r="Z86" i="20"/>
  <c r="Z88" i="20"/>
  <c r="Z90" i="20"/>
  <c r="Z92" i="20"/>
  <c r="Z94" i="20"/>
  <c r="Z96" i="20"/>
  <c r="Z98" i="20"/>
  <c r="Z100" i="20"/>
  <c r="Z102" i="20"/>
  <c r="Z104" i="20"/>
  <c r="Z106" i="20"/>
  <c r="Z108" i="20"/>
  <c r="Z110" i="20"/>
  <c r="Z112" i="20"/>
  <c r="Z114" i="20"/>
  <c r="Z116" i="20"/>
  <c r="Z118" i="20"/>
  <c r="O14" i="33" l="1"/>
  <c r="P14" i="33" s="1"/>
  <c r="Q14" i="33" s="1"/>
  <c r="Q14" i="11"/>
  <c r="R14" i="11" s="1"/>
  <c r="E16" i="33"/>
  <c r="E18" i="33"/>
  <c r="E20" i="33"/>
  <c r="E22" i="33"/>
  <c r="E24" i="33"/>
  <c r="E26" i="33"/>
  <c r="E28" i="33"/>
  <c r="E30" i="33"/>
  <c r="E32" i="33"/>
  <c r="E34" i="33"/>
  <c r="E36" i="33"/>
  <c r="E38" i="33"/>
  <c r="E40" i="33"/>
  <c r="E42" i="33"/>
  <c r="E44" i="33"/>
  <c r="E46" i="33"/>
  <c r="E48" i="33"/>
  <c r="E50" i="33"/>
  <c r="E52" i="33"/>
  <c r="E54" i="33"/>
  <c r="E56" i="33"/>
  <c r="E58" i="33"/>
  <c r="E60" i="33"/>
  <c r="E62" i="33"/>
  <c r="E64" i="33"/>
  <c r="E66" i="33"/>
  <c r="E68" i="33"/>
  <c r="E70" i="33"/>
  <c r="E72" i="33"/>
  <c r="E74" i="33"/>
  <c r="E76" i="33"/>
  <c r="E78" i="33"/>
  <c r="E80" i="33"/>
  <c r="E82" i="33"/>
  <c r="E84" i="33"/>
  <c r="E86" i="33"/>
  <c r="E88" i="33"/>
  <c r="E90" i="33"/>
  <c r="E92" i="33"/>
  <c r="E94" i="33"/>
  <c r="E96" i="33"/>
  <c r="E98" i="33"/>
  <c r="E100" i="33"/>
  <c r="E102" i="33"/>
  <c r="E104" i="33"/>
  <c r="E106" i="33"/>
  <c r="E108" i="33"/>
  <c r="E110" i="33"/>
  <c r="E112" i="33"/>
  <c r="E114" i="33"/>
  <c r="E116" i="33"/>
  <c r="E118" i="33"/>
  <c r="E12" i="33"/>
  <c r="E12" i="32"/>
  <c r="S14" i="33" l="1"/>
  <c r="Y13" i="33" s="1"/>
  <c r="L116" i="33"/>
  <c r="L118" i="33"/>
  <c r="L96" i="33"/>
  <c r="L98" i="33"/>
  <c r="L100" i="33"/>
  <c r="L102" i="33"/>
  <c r="L104" i="33"/>
  <c r="L106" i="33"/>
  <c r="L108" i="33"/>
  <c r="L110" i="33"/>
  <c r="L112" i="33"/>
  <c r="L114" i="33"/>
  <c r="L76" i="33"/>
  <c r="L78" i="33"/>
  <c r="L80" i="33"/>
  <c r="L82" i="33"/>
  <c r="L84" i="33"/>
  <c r="L86" i="33"/>
  <c r="L88" i="33"/>
  <c r="L90" i="33"/>
  <c r="L92" i="33"/>
  <c r="L94" i="33"/>
  <c r="L62" i="33"/>
  <c r="L64" i="33"/>
  <c r="L66" i="33"/>
  <c r="L68" i="33"/>
  <c r="L70" i="33"/>
  <c r="L72" i="33"/>
  <c r="L74" i="33"/>
  <c r="L44" i="33"/>
  <c r="L46" i="33"/>
  <c r="L48" i="33"/>
  <c r="L50" i="33"/>
  <c r="L52" i="33"/>
  <c r="L54" i="33"/>
  <c r="L56" i="33"/>
  <c r="L58" i="33"/>
  <c r="L60" i="33"/>
  <c r="L34" i="33"/>
  <c r="L36" i="33"/>
  <c r="L38" i="33"/>
  <c r="L40" i="33"/>
  <c r="L42" i="33"/>
  <c r="L26" i="33"/>
  <c r="L28" i="33"/>
  <c r="L30" i="33"/>
  <c r="L32" i="33"/>
  <c r="L16" i="33"/>
  <c r="L18" i="33"/>
  <c r="L20" i="33"/>
  <c r="L22" i="33"/>
  <c r="L24" i="33"/>
  <c r="L12" i="33"/>
  <c r="J42" i="11"/>
  <c r="J44" i="11"/>
  <c r="J46" i="11"/>
  <c r="J48" i="11"/>
  <c r="J50" i="11"/>
  <c r="J52" i="11"/>
  <c r="J54" i="11"/>
  <c r="J56" i="11"/>
  <c r="J58" i="11"/>
  <c r="J60" i="11"/>
  <c r="J62" i="11"/>
  <c r="J64" i="11"/>
  <c r="J66" i="11"/>
  <c r="J68" i="11"/>
  <c r="J70" i="11"/>
  <c r="J72" i="11"/>
  <c r="J74" i="11"/>
  <c r="J76" i="11"/>
  <c r="J78" i="11"/>
  <c r="J80" i="11"/>
  <c r="J82" i="11"/>
  <c r="J84" i="11"/>
  <c r="J86" i="11"/>
  <c r="J88" i="11"/>
  <c r="J90" i="11"/>
  <c r="J92" i="11"/>
  <c r="J94" i="11"/>
  <c r="J96" i="11"/>
  <c r="J98" i="11"/>
  <c r="J100" i="11"/>
  <c r="J102" i="11"/>
  <c r="J104" i="11"/>
  <c r="J106" i="11"/>
  <c r="J108" i="11"/>
  <c r="J110" i="11"/>
  <c r="J112" i="11"/>
  <c r="J114" i="11"/>
  <c r="J116" i="11"/>
  <c r="J118" i="11"/>
  <c r="J28" i="11"/>
  <c r="J30" i="11"/>
  <c r="J32" i="11"/>
  <c r="J34" i="11"/>
  <c r="J36" i="11"/>
  <c r="J38" i="11"/>
  <c r="J40" i="11"/>
  <c r="J16" i="11"/>
  <c r="J18" i="11"/>
  <c r="J20" i="11"/>
  <c r="J22" i="11"/>
  <c r="J24" i="11"/>
  <c r="J26" i="11"/>
  <c r="G16" i="11"/>
  <c r="G18" i="11"/>
  <c r="G20" i="11"/>
  <c r="G22" i="11"/>
  <c r="G24" i="11"/>
  <c r="G26" i="11"/>
  <c r="G28" i="11"/>
  <c r="G30" i="11"/>
  <c r="G32" i="11"/>
  <c r="G34" i="11"/>
  <c r="G36" i="11"/>
  <c r="G38" i="11"/>
  <c r="G40" i="11"/>
  <c r="G42" i="11"/>
  <c r="G44" i="11"/>
  <c r="G46" i="11"/>
  <c r="G48" i="11"/>
  <c r="G50" i="11"/>
  <c r="G52" i="11"/>
  <c r="G54" i="11"/>
  <c r="G56" i="11"/>
  <c r="G58" i="11"/>
  <c r="G60" i="11"/>
  <c r="G62" i="11"/>
  <c r="G64" i="11"/>
  <c r="G66" i="11"/>
  <c r="G68" i="11"/>
  <c r="G70" i="11"/>
  <c r="G72" i="11"/>
  <c r="G74" i="11"/>
  <c r="G76" i="11"/>
  <c r="G78" i="11"/>
  <c r="G80" i="11"/>
  <c r="G82" i="11"/>
  <c r="G84" i="11"/>
  <c r="G86" i="11"/>
  <c r="G88" i="11"/>
  <c r="G90" i="11"/>
  <c r="G92" i="11"/>
  <c r="G94" i="11"/>
  <c r="G96" i="11"/>
  <c r="G98" i="11"/>
  <c r="G100" i="11"/>
  <c r="G102" i="11"/>
  <c r="G104" i="11"/>
  <c r="G106" i="11"/>
  <c r="G108" i="11"/>
  <c r="G110" i="11"/>
  <c r="G112" i="11"/>
  <c r="G114" i="11"/>
  <c r="G116" i="11"/>
  <c r="G118" i="11"/>
  <c r="T14" i="33" l="1"/>
  <c r="G120" i="33"/>
  <c r="I118" i="33"/>
  <c r="J118" i="33" s="1"/>
  <c r="I108" i="33"/>
  <c r="I110" i="33"/>
  <c r="I112" i="33"/>
  <c r="I114" i="33"/>
  <c r="J114" i="33" s="1"/>
  <c r="I116" i="33"/>
  <c r="J116" i="33" s="1"/>
  <c r="I96" i="33"/>
  <c r="I98" i="33"/>
  <c r="J98" i="33" s="1"/>
  <c r="I102" i="33"/>
  <c r="I106" i="33"/>
  <c r="I88" i="33"/>
  <c r="I92" i="33"/>
  <c r="I94" i="33"/>
  <c r="I80" i="33"/>
  <c r="J80" i="33" s="1"/>
  <c r="I82" i="33"/>
  <c r="I84" i="33"/>
  <c r="J84" i="33" s="1"/>
  <c r="I86" i="33"/>
  <c r="I76" i="33"/>
  <c r="I60" i="33"/>
  <c r="I62" i="33"/>
  <c r="I64" i="33"/>
  <c r="I66" i="33"/>
  <c r="J66" i="33" s="1"/>
  <c r="I68" i="33"/>
  <c r="J68" i="33" s="1"/>
  <c r="I70" i="33"/>
  <c r="I54" i="33"/>
  <c r="I56" i="33"/>
  <c r="I44" i="33"/>
  <c r="I46" i="33"/>
  <c r="I48" i="33"/>
  <c r="I50" i="33"/>
  <c r="J50" i="33" s="1"/>
  <c r="I52" i="33"/>
  <c r="J52" i="33" s="1"/>
  <c r="I36" i="33"/>
  <c r="I32" i="33"/>
  <c r="I34" i="33"/>
  <c r="J34" i="33" s="1"/>
  <c r="I28" i="33"/>
  <c r="I30" i="33"/>
  <c r="I26" i="33"/>
  <c r="J26" i="33" s="1"/>
  <c r="I22" i="33"/>
  <c r="J22" i="33" s="1"/>
  <c r="I16" i="33"/>
  <c r="I18" i="33"/>
  <c r="J18" i="33" s="1"/>
  <c r="I20" i="33"/>
  <c r="J20" i="33" s="1"/>
  <c r="J12" i="32"/>
  <c r="S94" i="20"/>
  <c r="S96" i="20"/>
  <c r="S98" i="20"/>
  <c r="S100" i="20"/>
  <c r="S102" i="20"/>
  <c r="S104" i="20"/>
  <c r="S106" i="20"/>
  <c r="S108" i="20"/>
  <c r="S110" i="20"/>
  <c r="S112" i="20"/>
  <c r="S114" i="20"/>
  <c r="S116" i="20"/>
  <c r="S118" i="20"/>
  <c r="T94" i="20"/>
  <c r="T96" i="20"/>
  <c r="T98" i="20"/>
  <c r="T100" i="20"/>
  <c r="T102" i="20"/>
  <c r="T104" i="20"/>
  <c r="T106" i="20"/>
  <c r="T108" i="20"/>
  <c r="T110" i="20"/>
  <c r="T112" i="20"/>
  <c r="T114" i="20"/>
  <c r="T116" i="20"/>
  <c r="T118" i="20"/>
  <c r="U94" i="20"/>
  <c r="U96" i="20"/>
  <c r="U98" i="20"/>
  <c r="U100" i="20"/>
  <c r="U102" i="20"/>
  <c r="U104" i="20"/>
  <c r="U106" i="20"/>
  <c r="U108" i="20"/>
  <c r="U110" i="20"/>
  <c r="U112" i="20"/>
  <c r="U114" i="20"/>
  <c r="U116" i="20"/>
  <c r="U118" i="20"/>
  <c r="V94" i="20"/>
  <c r="V96" i="20"/>
  <c r="V98" i="20"/>
  <c r="V100" i="20"/>
  <c r="V102" i="20"/>
  <c r="V104" i="20"/>
  <c r="V106" i="20"/>
  <c r="V108" i="20"/>
  <c r="V110" i="20"/>
  <c r="V112" i="20"/>
  <c r="V114" i="20"/>
  <c r="V116" i="20"/>
  <c r="V118" i="20"/>
  <c r="W94" i="20"/>
  <c r="W96" i="20"/>
  <c r="W98" i="20"/>
  <c r="W100" i="20"/>
  <c r="W102" i="20"/>
  <c r="W104" i="20"/>
  <c r="W106" i="20"/>
  <c r="W108" i="20"/>
  <c r="W110" i="20"/>
  <c r="W112" i="20"/>
  <c r="W114" i="20"/>
  <c r="W116" i="20"/>
  <c r="W118" i="20"/>
  <c r="X94" i="20"/>
  <c r="X96" i="20"/>
  <c r="X98" i="20"/>
  <c r="X100" i="20"/>
  <c r="X102" i="20"/>
  <c r="X104" i="20"/>
  <c r="X106" i="20"/>
  <c r="X108" i="20"/>
  <c r="X110" i="20"/>
  <c r="X112" i="20"/>
  <c r="X114" i="20"/>
  <c r="X116" i="20"/>
  <c r="X118" i="20"/>
  <c r="AA94" i="20"/>
  <c r="AA96" i="20"/>
  <c r="AA98" i="20"/>
  <c r="AA100" i="20"/>
  <c r="AA102" i="20"/>
  <c r="AA104" i="20"/>
  <c r="AA106" i="20"/>
  <c r="AA108" i="20"/>
  <c r="AA110" i="20"/>
  <c r="AA112" i="20"/>
  <c r="AA114" i="20"/>
  <c r="AA116" i="20"/>
  <c r="AA118" i="20"/>
  <c r="Y94" i="20"/>
  <c r="Y96" i="20"/>
  <c r="Y98" i="20"/>
  <c r="Y100" i="20"/>
  <c r="Y102" i="20"/>
  <c r="Y104" i="20"/>
  <c r="Y106" i="20"/>
  <c r="Y108" i="20"/>
  <c r="Y110" i="20"/>
  <c r="Y112" i="20"/>
  <c r="Y114" i="20"/>
  <c r="Y116" i="20"/>
  <c r="Y118" i="20"/>
  <c r="R94" i="20"/>
  <c r="R96" i="20"/>
  <c r="R98" i="20"/>
  <c r="R100" i="20"/>
  <c r="R102" i="20"/>
  <c r="R104" i="20"/>
  <c r="R106" i="20"/>
  <c r="R108" i="20"/>
  <c r="R110" i="20"/>
  <c r="R112" i="20"/>
  <c r="R114" i="20"/>
  <c r="R116" i="20"/>
  <c r="R118" i="20"/>
  <c r="Q94" i="20"/>
  <c r="Q96" i="20"/>
  <c r="Q98" i="20"/>
  <c r="Q100" i="20"/>
  <c r="Q102" i="20"/>
  <c r="Q104" i="20"/>
  <c r="Q106" i="20"/>
  <c r="Q108" i="20"/>
  <c r="Q110" i="20"/>
  <c r="Q112" i="20"/>
  <c r="Q114" i="20"/>
  <c r="Q116" i="20"/>
  <c r="Q118" i="20"/>
  <c r="X16" i="20"/>
  <c r="X18" i="20"/>
  <c r="X20" i="20"/>
  <c r="X22" i="20"/>
  <c r="X24" i="20"/>
  <c r="X26" i="20"/>
  <c r="X28" i="20"/>
  <c r="X30" i="20"/>
  <c r="X32" i="20"/>
  <c r="X34" i="20"/>
  <c r="X36" i="20"/>
  <c r="X38" i="20"/>
  <c r="X40" i="20"/>
  <c r="X42" i="20"/>
  <c r="X44" i="20"/>
  <c r="X46" i="20"/>
  <c r="X48" i="20"/>
  <c r="X50" i="20"/>
  <c r="X52" i="20"/>
  <c r="X54" i="20"/>
  <c r="X56" i="20"/>
  <c r="X58" i="20"/>
  <c r="X60" i="20"/>
  <c r="X62" i="20"/>
  <c r="X64" i="20"/>
  <c r="X66" i="20"/>
  <c r="X68" i="20"/>
  <c r="X70" i="20"/>
  <c r="X72" i="20"/>
  <c r="X74" i="20"/>
  <c r="X76" i="20"/>
  <c r="X78" i="20"/>
  <c r="X80" i="20"/>
  <c r="X82" i="20"/>
  <c r="X84" i="20"/>
  <c r="X86" i="20"/>
  <c r="X88" i="20"/>
  <c r="X90" i="20"/>
  <c r="X92" i="20"/>
  <c r="H110" i="11"/>
  <c r="L110" i="11" s="1"/>
  <c r="H112" i="11"/>
  <c r="L112" i="11" s="1"/>
  <c r="H114" i="11"/>
  <c r="L114" i="11" s="1"/>
  <c r="H96" i="11"/>
  <c r="L96" i="11" s="1"/>
  <c r="H100" i="11"/>
  <c r="I100" i="11" s="1"/>
  <c r="K100" i="11" s="1"/>
  <c r="H102" i="11"/>
  <c r="L102" i="11" s="1"/>
  <c r="H104" i="11"/>
  <c r="L104" i="11" s="1"/>
  <c r="H94" i="11"/>
  <c r="H98" i="11"/>
  <c r="H106" i="11"/>
  <c r="H108" i="11"/>
  <c r="H116" i="11"/>
  <c r="H118" i="11"/>
  <c r="H29" i="31"/>
  <c r="H37" i="31"/>
  <c r="H49" i="31"/>
  <c r="H48" i="31"/>
  <c r="H42" i="31"/>
  <c r="H40" i="31"/>
  <c r="H39" i="31"/>
  <c r="H38" i="31"/>
  <c r="H41" i="31"/>
  <c r="H36" i="31"/>
  <c r="H28" i="31"/>
  <c r="H35" i="31"/>
  <c r="H34" i="31"/>
  <c r="H33" i="31"/>
  <c r="H32" i="31"/>
  <c r="H31" i="31"/>
  <c r="H30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4" i="31"/>
  <c r="H15" i="31"/>
  <c r="H13" i="31"/>
  <c r="H46" i="31"/>
  <c r="H45" i="31"/>
  <c r="H44" i="31"/>
  <c r="H12" i="31"/>
  <c r="H11" i="31"/>
  <c r="H10" i="31"/>
  <c r="H9" i="31"/>
  <c r="H8" i="31"/>
  <c r="H6" i="31"/>
  <c r="H7" i="31"/>
  <c r="H5" i="31"/>
  <c r="H50" i="31" l="1"/>
  <c r="L100" i="11"/>
  <c r="AB100" i="20"/>
  <c r="AB98" i="20"/>
  <c r="AB114" i="20"/>
  <c r="AB116" i="20"/>
  <c r="I100" i="33"/>
  <c r="J100" i="33" s="1"/>
  <c r="N100" i="33" s="1"/>
  <c r="J56" i="33"/>
  <c r="K56" i="33" s="1"/>
  <c r="M56" i="33" s="1"/>
  <c r="J94" i="33"/>
  <c r="N94" i="33" s="1"/>
  <c r="I40" i="33"/>
  <c r="J40" i="33" s="1"/>
  <c r="I38" i="33"/>
  <c r="J38" i="33" s="1"/>
  <c r="J88" i="33"/>
  <c r="N88" i="33" s="1"/>
  <c r="I78" i="33"/>
  <c r="J78" i="33" s="1"/>
  <c r="N78" i="33" s="1"/>
  <c r="J106" i="33"/>
  <c r="K106" i="33" s="1"/>
  <c r="M106" i="33" s="1"/>
  <c r="J86" i="33"/>
  <c r="K86" i="33" s="1"/>
  <c r="M86" i="33" s="1"/>
  <c r="J112" i="33"/>
  <c r="K112" i="33" s="1"/>
  <c r="M112" i="33" s="1"/>
  <c r="I72" i="33"/>
  <c r="J72" i="33" s="1"/>
  <c r="K72" i="33" s="1"/>
  <c r="M72" i="33" s="1"/>
  <c r="J46" i="33"/>
  <c r="K46" i="33" s="1"/>
  <c r="M46" i="33" s="1"/>
  <c r="J110" i="33"/>
  <c r="N110" i="33" s="1"/>
  <c r="I104" i="33"/>
  <c r="J104" i="33" s="1"/>
  <c r="N104" i="33" s="1"/>
  <c r="I58" i="33"/>
  <c r="J58" i="33" s="1"/>
  <c r="K58" i="33" s="1"/>
  <c r="M58" i="33" s="1"/>
  <c r="K18" i="33"/>
  <c r="M18" i="33" s="1"/>
  <c r="N18" i="33"/>
  <c r="K84" i="33"/>
  <c r="M84" i="33" s="1"/>
  <c r="N84" i="33"/>
  <c r="K98" i="33"/>
  <c r="M98" i="33" s="1"/>
  <c r="N98" i="33"/>
  <c r="K52" i="33"/>
  <c r="M52" i="33" s="1"/>
  <c r="N52" i="33"/>
  <c r="K116" i="33"/>
  <c r="M116" i="33" s="1"/>
  <c r="N116" i="33"/>
  <c r="N80" i="33"/>
  <c r="K80" i="33"/>
  <c r="M80" i="33" s="1"/>
  <c r="K22" i="33"/>
  <c r="M22" i="33" s="1"/>
  <c r="N22" i="33"/>
  <c r="K26" i="33"/>
  <c r="M26" i="33" s="1"/>
  <c r="N26" i="33"/>
  <c r="K118" i="33"/>
  <c r="M118" i="33" s="1"/>
  <c r="N118" i="33"/>
  <c r="K50" i="33"/>
  <c r="M50" i="33" s="1"/>
  <c r="N50" i="33"/>
  <c r="N68" i="33"/>
  <c r="K68" i="33"/>
  <c r="M68" i="33" s="1"/>
  <c r="K88" i="33"/>
  <c r="M88" i="33" s="1"/>
  <c r="K114" i="33"/>
  <c r="M114" i="33" s="1"/>
  <c r="N114" i="33"/>
  <c r="K20" i="33"/>
  <c r="M20" i="33" s="1"/>
  <c r="N20" i="33"/>
  <c r="K34" i="33"/>
  <c r="M34" i="33" s="1"/>
  <c r="N34" i="33"/>
  <c r="K66" i="33"/>
  <c r="M66" i="33" s="1"/>
  <c r="N66" i="33"/>
  <c r="J36" i="33"/>
  <c r="I90" i="33"/>
  <c r="J90" i="33" s="1"/>
  <c r="I74" i="33"/>
  <c r="J74" i="33" s="1"/>
  <c r="I42" i="33"/>
  <c r="J42" i="33" s="1"/>
  <c r="J102" i="33"/>
  <c r="J70" i="33"/>
  <c r="J54" i="33"/>
  <c r="J82" i="33"/>
  <c r="H12" i="33"/>
  <c r="J96" i="33"/>
  <c r="J64" i="33"/>
  <c r="J48" i="33"/>
  <c r="J32" i="33"/>
  <c r="J16" i="33"/>
  <c r="I24" i="33"/>
  <c r="J24" i="33" s="1"/>
  <c r="J62" i="33"/>
  <c r="J30" i="33"/>
  <c r="J108" i="33"/>
  <c r="J92" i="33"/>
  <c r="J76" i="33"/>
  <c r="J60" i="33"/>
  <c r="J44" i="33"/>
  <c r="J28" i="33"/>
  <c r="I96" i="11"/>
  <c r="K96" i="11" s="1"/>
  <c r="G12" i="32"/>
  <c r="G16" i="32" s="1"/>
  <c r="F16" i="32"/>
  <c r="AB118" i="20"/>
  <c r="AB106" i="20"/>
  <c r="AB108" i="20"/>
  <c r="AB110" i="20"/>
  <c r="AB102" i="20"/>
  <c r="AB112" i="20"/>
  <c r="AB96" i="20"/>
  <c r="AB94" i="20"/>
  <c r="AB104" i="20"/>
  <c r="I108" i="11"/>
  <c r="K108" i="11" s="1"/>
  <c r="L108" i="11"/>
  <c r="L106" i="11"/>
  <c r="I106" i="11"/>
  <c r="K106" i="11" s="1"/>
  <c r="L94" i="11"/>
  <c r="I94" i="11"/>
  <c r="K94" i="11" s="1"/>
  <c r="L118" i="11"/>
  <c r="I118" i="11"/>
  <c r="K118" i="11" s="1"/>
  <c r="I116" i="11"/>
  <c r="K116" i="11" s="1"/>
  <c r="L116" i="11"/>
  <c r="L98" i="11"/>
  <c r="I98" i="11"/>
  <c r="K98" i="11" s="1"/>
  <c r="I104" i="11"/>
  <c r="K104" i="11" s="1"/>
  <c r="I114" i="11"/>
  <c r="K114" i="11" s="1"/>
  <c r="I112" i="11"/>
  <c r="K112" i="11" s="1"/>
  <c r="I102" i="11"/>
  <c r="K102" i="11" s="1"/>
  <c r="I110" i="11"/>
  <c r="K110" i="11" s="1"/>
  <c r="H43" i="31"/>
  <c r="H47" i="31"/>
  <c r="N118" i="11" l="1"/>
  <c r="O118" i="11" s="1"/>
  <c r="N100" i="11"/>
  <c r="O100" i="11" s="1"/>
  <c r="Q100" i="11" s="1"/>
  <c r="R100" i="11" s="1"/>
  <c r="N116" i="11"/>
  <c r="O116" i="11" s="1"/>
  <c r="Q116" i="11" s="1"/>
  <c r="R116" i="11" s="1"/>
  <c r="N98" i="11"/>
  <c r="O98" i="11" s="1"/>
  <c r="Q98" i="11" s="1"/>
  <c r="R98" i="11" s="1"/>
  <c r="N108" i="11"/>
  <c r="O108" i="11" s="1"/>
  <c r="Q108" i="11" s="1"/>
  <c r="R108" i="11" s="1"/>
  <c r="N106" i="11"/>
  <c r="O106" i="11" s="1"/>
  <c r="Q106" i="11" s="1"/>
  <c r="R106" i="11" s="1"/>
  <c r="N94" i="11"/>
  <c r="O94" i="11" s="1"/>
  <c r="Q94" i="11" s="1"/>
  <c r="R94" i="11" s="1"/>
  <c r="N106" i="33"/>
  <c r="O106" i="33" s="1"/>
  <c r="P106" i="33" s="1"/>
  <c r="Q106" i="33" s="1"/>
  <c r="K94" i="33"/>
  <c r="M94" i="33" s="1"/>
  <c r="N112" i="33"/>
  <c r="O112" i="33" s="1"/>
  <c r="P112" i="33" s="1"/>
  <c r="Q112" i="33" s="1"/>
  <c r="K110" i="33"/>
  <c r="M110" i="33" s="1"/>
  <c r="K100" i="33"/>
  <c r="M100" i="33" s="1"/>
  <c r="N112" i="11"/>
  <c r="O112" i="11" s="1"/>
  <c r="Q112" i="11" s="1"/>
  <c r="R112" i="11" s="1"/>
  <c r="N104" i="11"/>
  <c r="O104" i="11" s="1"/>
  <c r="Q104" i="11" s="1"/>
  <c r="R104" i="11" s="1"/>
  <c r="N96" i="11"/>
  <c r="O96" i="11" s="1"/>
  <c r="Q96" i="11" s="1"/>
  <c r="R96" i="11" s="1"/>
  <c r="N102" i="11"/>
  <c r="O102" i="11" s="1"/>
  <c r="Q102" i="11" s="1"/>
  <c r="R102" i="11" s="1"/>
  <c r="N110" i="11"/>
  <c r="O110" i="11" s="1"/>
  <c r="Q110" i="11" s="1"/>
  <c r="R110" i="11" s="1"/>
  <c r="N114" i="11"/>
  <c r="O114" i="11" s="1"/>
  <c r="Q114" i="11" s="1"/>
  <c r="R114" i="11" s="1"/>
  <c r="O94" i="33"/>
  <c r="P94" i="33" s="1"/>
  <c r="N86" i="33"/>
  <c r="K78" i="33"/>
  <c r="M78" i="33" s="1"/>
  <c r="N46" i="33"/>
  <c r="N38" i="33"/>
  <c r="K38" i="33"/>
  <c r="M38" i="33" s="1"/>
  <c r="K40" i="33"/>
  <c r="M40" i="33" s="1"/>
  <c r="N40" i="33"/>
  <c r="N58" i="33"/>
  <c r="N72" i="33"/>
  <c r="N56" i="33"/>
  <c r="K104" i="33"/>
  <c r="M104" i="33" s="1"/>
  <c r="K24" i="33"/>
  <c r="M24" i="33" s="1"/>
  <c r="N24" i="33"/>
  <c r="K42" i="33"/>
  <c r="M42" i="33" s="1"/>
  <c r="N42" i="33"/>
  <c r="K74" i="33"/>
  <c r="M74" i="33" s="1"/>
  <c r="N74" i="33"/>
  <c r="K82" i="33"/>
  <c r="M82" i="33" s="1"/>
  <c r="N82" i="33"/>
  <c r="N44" i="33"/>
  <c r="K44" i="33"/>
  <c r="M44" i="33" s="1"/>
  <c r="N16" i="33"/>
  <c r="K16" i="33"/>
  <c r="M16" i="33" s="1"/>
  <c r="N36" i="33"/>
  <c r="K36" i="33"/>
  <c r="M36" i="33" s="1"/>
  <c r="N60" i="33"/>
  <c r="K60" i="33"/>
  <c r="M60" i="33" s="1"/>
  <c r="N32" i="33"/>
  <c r="K32" i="33"/>
  <c r="M32" i="33" s="1"/>
  <c r="K54" i="33"/>
  <c r="M54" i="33" s="1"/>
  <c r="N54" i="33"/>
  <c r="K90" i="33"/>
  <c r="M90" i="33" s="1"/>
  <c r="N90" i="33"/>
  <c r="N62" i="33"/>
  <c r="K62" i="33"/>
  <c r="M62" i="33" s="1"/>
  <c r="N28" i="33"/>
  <c r="K28" i="33"/>
  <c r="M28" i="33" s="1"/>
  <c r="O104" i="33"/>
  <c r="P104" i="33" s="1"/>
  <c r="N76" i="33"/>
  <c r="K76" i="33"/>
  <c r="M76" i="33" s="1"/>
  <c r="N48" i="33"/>
  <c r="K48" i="33"/>
  <c r="M48" i="33" s="1"/>
  <c r="K70" i="33"/>
  <c r="M70" i="33" s="1"/>
  <c r="N70" i="33"/>
  <c r="N30" i="33"/>
  <c r="K30" i="33"/>
  <c r="M30" i="33" s="1"/>
  <c r="O114" i="33"/>
  <c r="P114" i="33" s="1"/>
  <c r="Q114" i="33" s="1"/>
  <c r="N92" i="33"/>
  <c r="K92" i="33"/>
  <c r="M92" i="33" s="1"/>
  <c r="N64" i="33"/>
  <c r="K64" i="33"/>
  <c r="M64" i="33" s="1"/>
  <c r="K102" i="33"/>
  <c r="M102" i="33" s="1"/>
  <c r="N102" i="33"/>
  <c r="O102" i="33" s="1"/>
  <c r="I12" i="33"/>
  <c r="I120" i="33" s="1"/>
  <c r="H120" i="33"/>
  <c r="N108" i="33"/>
  <c r="O108" i="33" s="1"/>
  <c r="K108" i="33"/>
  <c r="M108" i="33" s="1"/>
  <c r="N96" i="33"/>
  <c r="K96" i="33"/>
  <c r="M96" i="33" s="1"/>
  <c r="O110" i="33"/>
  <c r="P110" i="33" s="1"/>
  <c r="O100" i="33"/>
  <c r="P100" i="33" s="1"/>
  <c r="O116" i="33"/>
  <c r="P116" i="33" s="1"/>
  <c r="Q116" i="33" s="1"/>
  <c r="O98" i="33"/>
  <c r="P98" i="33" s="1"/>
  <c r="Q98" i="33" s="1"/>
  <c r="O118" i="33"/>
  <c r="P118" i="33" s="1"/>
  <c r="Q118" i="33" s="1"/>
  <c r="H12" i="32"/>
  <c r="H51" i="31"/>
  <c r="AC128" i="33" l="1"/>
  <c r="S116" i="33"/>
  <c r="T116" i="33" s="1"/>
  <c r="S106" i="33"/>
  <c r="T106" i="33" s="1"/>
  <c r="S98" i="33"/>
  <c r="T98" i="33" s="1"/>
  <c r="S118" i="33"/>
  <c r="T118" i="33" s="1"/>
  <c r="S114" i="33"/>
  <c r="T114" i="33" s="1"/>
  <c r="S112" i="33"/>
  <c r="T112" i="33" s="1"/>
  <c r="Q94" i="33"/>
  <c r="Q100" i="33"/>
  <c r="Q110" i="33"/>
  <c r="Q104" i="33"/>
  <c r="J12" i="33"/>
  <c r="K12" i="33" s="1"/>
  <c r="K120" i="33" s="1"/>
  <c r="P108" i="33"/>
  <c r="Q108" i="33" s="1"/>
  <c r="O96" i="33"/>
  <c r="P96" i="33" s="1"/>
  <c r="Q96" i="33" s="1"/>
  <c r="P102" i="33"/>
  <c r="Q102" i="33" s="1"/>
  <c r="Q118" i="11"/>
  <c r="R118" i="11" s="1"/>
  <c r="H16" i="32"/>
  <c r="I12" i="32"/>
  <c r="L12" i="32"/>
  <c r="J120" i="33" l="1"/>
  <c r="S108" i="33"/>
  <c r="T108" i="33" s="1"/>
  <c r="S104" i="33"/>
  <c r="T104" i="33" s="1"/>
  <c r="S110" i="33"/>
  <c r="T110" i="33" s="1"/>
  <c r="S102" i="33"/>
  <c r="T102" i="33" s="1"/>
  <c r="S94" i="33"/>
  <c r="T94" i="33" s="1"/>
  <c r="S100" i="33"/>
  <c r="T100" i="33" s="1"/>
  <c r="S96" i="33"/>
  <c r="T96" i="33" s="1"/>
  <c r="N12" i="33"/>
  <c r="N120" i="33" s="1"/>
  <c r="M12" i="33"/>
  <c r="M120" i="33" s="1"/>
  <c r="L16" i="32"/>
  <c r="K12" i="32"/>
  <c r="I16" i="32"/>
  <c r="K16" i="32" l="1"/>
  <c r="Y16" i="20"/>
  <c r="Y24" i="20"/>
  <c r="Y26" i="20"/>
  <c r="Y22" i="20"/>
  <c r="Y28" i="20"/>
  <c r="Y30" i="20"/>
  <c r="Y32" i="20"/>
  <c r="Y34" i="20"/>
  <c r="Y36" i="20"/>
  <c r="Y38" i="20"/>
  <c r="Y40" i="20"/>
  <c r="Y42" i="20"/>
  <c r="Y44" i="20"/>
  <c r="Y46" i="20"/>
  <c r="Y48" i="20"/>
  <c r="Y50" i="20"/>
  <c r="Y52" i="20"/>
  <c r="Y54" i="20"/>
  <c r="Y56" i="20"/>
  <c r="Y58" i="20"/>
  <c r="Y60" i="20"/>
  <c r="Y62" i="20"/>
  <c r="Y64" i="20"/>
  <c r="Y66" i="20"/>
  <c r="Y68" i="20"/>
  <c r="Y70" i="20"/>
  <c r="Y72" i="20"/>
  <c r="Y74" i="20"/>
  <c r="Y76" i="20"/>
  <c r="Y78" i="20"/>
  <c r="Y80" i="20"/>
  <c r="Y82" i="20"/>
  <c r="Y84" i="20"/>
  <c r="Y86" i="20"/>
  <c r="Y88" i="20"/>
  <c r="Y90" i="20"/>
  <c r="Y18" i="20"/>
  <c r="Y92" i="20"/>
  <c r="Y20" i="20"/>
  <c r="H16" i="11" l="1"/>
  <c r="H24" i="11"/>
  <c r="H26" i="11"/>
  <c r="H22" i="11"/>
  <c r="H28" i="11"/>
  <c r="H30" i="11"/>
  <c r="H32" i="11"/>
  <c r="H34" i="11"/>
  <c r="H36" i="11"/>
  <c r="H38" i="11"/>
  <c r="H40" i="11"/>
  <c r="H42" i="11"/>
  <c r="H44" i="11"/>
  <c r="H46" i="11"/>
  <c r="H48" i="11"/>
  <c r="H50" i="11"/>
  <c r="H52" i="11"/>
  <c r="H54" i="11"/>
  <c r="H56" i="11"/>
  <c r="H58" i="11"/>
  <c r="H60" i="11"/>
  <c r="H62" i="11"/>
  <c r="H64" i="11"/>
  <c r="H66" i="11"/>
  <c r="H68" i="11"/>
  <c r="H70" i="11"/>
  <c r="H72" i="11"/>
  <c r="H74" i="11"/>
  <c r="H76" i="11"/>
  <c r="H78" i="11"/>
  <c r="H80" i="11"/>
  <c r="H82" i="11"/>
  <c r="H84" i="11"/>
  <c r="H86" i="11"/>
  <c r="H88" i="11"/>
  <c r="H90" i="11"/>
  <c r="H18" i="11"/>
  <c r="H92" i="11"/>
  <c r="H20" i="11"/>
  <c r="AA16" i="20"/>
  <c r="AA24" i="20"/>
  <c r="AA26" i="20"/>
  <c r="AA22" i="20"/>
  <c r="AA28" i="20"/>
  <c r="AA30" i="20"/>
  <c r="AA32" i="20"/>
  <c r="AA34" i="20"/>
  <c r="AA36" i="20"/>
  <c r="AA38" i="20"/>
  <c r="AA40" i="20"/>
  <c r="AA42" i="20"/>
  <c r="AA44" i="20"/>
  <c r="AA46" i="20"/>
  <c r="AA48" i="20"/>
  <c r="AA50" i="20"/>
  <c r="AA52" i="20"/>
  <c r="AA54" i="20"/>
  <c r="AA56" i="20"/>
  <c r="AA58" i="20"/>
  <c r="AA60" i="20"/>
  <c r="AA62" i="20"/>
  <c r="AA64" i="20"/>
  <c r="AA66" i="20"/>
  <c r="AA68" i="20"/>
  <c r="AA70" i="20"/>
  <c r="AA72" i="20"/>
  <c r="AA74" i="20"/>
  <c r="AA76" i="20"/>
  <c r="AA78" i="20"/>
  <c r="AA80" i="20"/>
  <c r="AA82" i="20"/>
  <c r="AA84" i="20"/>
  <c r="AA86" i="20"/>
  <c r="AA88" i="20"/>
  <c r="AA90" i="20"/>
  <c r="AA18" i="20"/>
  <c r="AA92" i="20"/>
  <c r="AA20" i="20"/>
  <c r="W16" i="20"/>
  <c r="W24" i="20"/>
  <c r="W26" i="20"/>
  <c r="W22" i="20"/>
  <c r="W28" i="20"/>
  <c r="W30" i="20"/>
  <c r="W32" i="20"/>
  <c r="W34" i="20"/>
  <c r="W36" i="20"/>
  <c r="W38" i="20"/>
  <c r="W40" i="20"/>
  <c r="W42" i="20"/>
  <c r="W44" i="20"/>
  <c r="W46" i="20"/>
  <c r="W48" i="20"/>
  <c r="W50" i="20"/>
  <c r="W52" i="20"/>
  <c r="W54" i="20"/>
  <c r="W56" i="20"/>
  <c r="W58" i="20"/>
  <c r="W60" i="20"/>
  <c r="W62" i="20"/>
  <c r="W64" i="20"/>
  <c r="W66" i="20"/>
  <c r="W68" i="20"/>
  <c r="W70" i="20"/>
  <c r="W72" i="20"/>
  <c r="W74" i="20"/>
  <c r="W76" i="20"/>
  <c r="W78" i="20"/>
  <c r="W80" i="20"/>
  <c r="W82" i="20"/>
  <c r="W84" i="20"/>
  <c r="W86" i="20"/>
  <c r="W88" i="20"/>
  <c r="W90" i="20"/>
  <c r="W18" i="20"/>
  <c r="W92" i="20"/>
  <c r="W20" i="20"/>
  <c r="V16" i="20"/>
  <c r="V24" i="20"/>
  <c r="V26" i="20"/>
  <c r="V22" i="20"/>
  <c r="V28" i="20"/>
  <c r="V30" i="20"/>
  <c r="V32" i="20"/>
  <c r="V34" i="20"/>
  <c r="V36" i="20"/>
  <c r="V38" i="20"/>
  <c r="V40" i="20"/>
  <c r="V42" i="20"/>
  <c r="V44" i="20"/>
  <c r="V46" i="20"/>
  <c r="V48" i="20"/>
  <c r="V50" i="20"/>
  <c r="V52" i="20"/>
  <c r="V54" i="20"/>
  <c r="V56" i="20"/>
  <c r="V58" i="20"/>
  <c r="V60" i="20"/>
  <c r="V62" i="20"/>
  <c r="V64" i="20"/>
  <c r="V66" i="20"/>
  <c r="V68" i="20"/>
  <c r="V70" i="20"/>
  <c r="V72" i="20"/>
  <c r="V74" i="20"/>
  <c r="V76" i="20"/>
  <c r="V78" i="20"/>
  <c r="V80" i="20"/>
  <c r="V82" i="20"/>
  <c r="V84" i="20"/>
  <c r="V86" i="20"/>
  <c r="V88" i="20"/>
  <c r="V90" i="20"/>
  <c r="V18" i="20"/>
  <c r="V92" i="20"/>
  <c r="V20" i="20"/>
  <c r="U16" i="20"/>
  <c r="U24" i="20"/>
  <c r="U26" i="20"/>
  <c r="U22" i="20"/>
  <c r="U28" i="20"/>
  <c r="U30" i="20"/>
  <c r="U32" i="20"/>
  <c r="U34" i="20"/>
  <c r="U36" i="20"/>
  <c r="U38" i="20"/>
  <c r="U40" i="20"/>
  <c r="U42" i="20"/>
  <c r="U44" i="20"/>
  <c r="U46" i="20"/>
  <c r="U48" i="20"/>
  <c r="U50" i="20"/>
  <c r="U52" i="20"/>
  <c r="U54" i="20"/>
  <c r="U56" i="20"/>
  <c r="U58" i="20"/>
  <c r="U60" i="20"/>
  <c r="U62" i="20"/>
  <c r="U64" i="20"/>
  <c r="U66" i="20"/>
  <c r="U68" i="20"/>
  <c r="U70" i="20"/>
  <c r="U72" i="20"/>
  <c r="U74" i="20"/>
  <c r="U76" i="20"/>
  <c r="U78" i="20"/>
  <c r="U80" i="20"/>
  <c r="U82" i="20"/>
  <c r="U84" i="20"/>
  <c r="U86" i="20"/>
  <c r="U88" i="20"/>
  <c r="U90" i="20"/>
  <c r="U18" i="20"/>
  <c r="U92" i="20"/>
  <c r="U20" i="20"/>
  <c r="T16" i="20"/>
  <c r="T24" i="20"/>
  <c r="T26" i="20"/>
  <c r="T22" i="20"/>
  <c r="T28" i="20"/>
  <c r="T30" i="20"/>
  <c r="T32" i="20"/>
  <c r="T34" i="20"/>
  <c r="T36" i="20"/>
  <c r="T38" i="20"/>
  <c r="T40" i="20"/>
  <c r="T42" i="20"/>
  <c r="T44" i="20"/>
  <c r="T46" i="20"/>
  <c r="T48" i="20"/>
  <c r="T50" i="20"/>
  <c r="T52" i="20"/>
  <c r="T54" i="20"/>
  <c r="T56" i="20"/>
  <c r="T58" i="20"/>
  <c r="T60" i="20"/>
  <c r="T62" i="20"/>
  <c r="T64" i="20"/>
  <c r="T66" i="20"/>
  <c r="T68" i="20"/>
  <c r="T70" i="20"/>
  <c r="T72" i="20"/>
  <c r="T74" i="20"/>
  <c r="T76" i="20"/>
  <c r="T78" i="20"/>
  <c r="T80" i="20"/>
  <c r="T82" i="20"/>
  <c r="T84" i="20"/>
  <c r="T86" i="20"/>
  <c r="T88" i="20"/>
  <c r="T90" i="20"/>
  <c r="T18" i="20"/>
  <c r="T92" i="20"/>
  <c r="T20" i="20"/>
  <c r="S16" i="20"/>
  <c r="S24" i="20"/>
  <c r="S26" i="20"/>
  <c r="S22" i="20"/>
  <c r="S28" i="20"/>
  <c r="S30" i="20"/>
  <c r="S32" i="20"/>
  <c r="S34" i="20"/>
  <c r="S36" i="20"/>
  <c r="S38" i="20"/>
  <c r="S40" i="20"/>
  <c r="S42" i="20"/>
  <c r="S44" i="20"/>
  <c r="S46" i="20"/>
  <c r="S48" i="20"/>
  <c r="S50" i="20"/>
  <c r="S52" i="20"/>
  <c r="S54" i="20"/>
  <c r="S56" i="20"/>
  <c r="S58" i="20"/>
  <c r="S60" i="20"/>
  <c r="S62" i="20"/>
  <c r="S64" i="20"/>
  <c r="S66" i="20"/>
  <c r="S68" i="20"/>
  <c r="S70" i="20"/>
  <c r="S72" i="20"/>
  <c r="S74" i="20"/>
  <c r="S76" i="20"/>
  <c r="S78" i="20"/>
  <c r="S80" i="20"/>
  <c r="S82" i="20"/>
  <c r="S84" i="20"/>
  <c r="S86" i="20"/>
  <c r="S88" i="20"/>
  <c r="S90" i="20"/>
  <c r="S18" i="20"/>
  <c r="S92" i="20"/>
  <c r="S20" i="20"/>
  <c r="R16" i="20"/>
  <c r="R24" i="20"/>
  <c r="R26" i="20"/>
  <c r="R22" i="20"/>
  <c r="R28" i="20"/>
  <c r="R30" i="20"/>
  <c r="R32" i="20"/>
  <c r="R34" i="20"/>
  <c r="R36" i="20"/>
  <c r="R38" i="20"/>
  <c r="R40" i="20"/>
  <c r="R42" i="20"/>
  <c r="R44" i="20"/>
  <c r="R46" i="20"/>
  <c r="R48" i="20"/>
  <c r="R50" i="20"/>
  <c r="R52" i="20"/>
  <c r="R54" i="20"/>
  <c r="R56" i="20"/>
  <c r="R58" i="20"/>
  <c r="R60" i="20"/>
  <c r="R62" i="20"/>
  <c r="R64" i="20"/>
  <c r="R66" i="20"/>
  <c r="R68" i="20"/>
  <c r="R70" i="20"/>
  <c r="R72" i="20"/>
  <c r="R74" i="20"/>
  <c r="R76" i="20"/>
  <c r="R78" i="20"/>
  <c r="R80" i="20"/>
  <c r="R82" i="20"/>
  <c r="R84" i="20"/>
  <c r="R86" i="20"/>
  <c r="R88" i="20"/>
  <c r="R90" i="20"/>
  <c r="R18" i="20"/>
  <c r="R92" i="20"/>
  <c r="R20" i="20"/>
  <c r="Q26" i="20"/>
  <c r="Q22" i="20"/>
  <c r="Q30" i="20"/>
  <c r="Q32" i="20"/>
  <c r="Q34" i="20"/>
  <c r="Q36" i="20"/>
  <c r="Q38" i="20"/>
  <c r="Q40" i="20"/>
  <c r="Q42" i="20"/>
  <c r="Q44" i="20"/>
  <c r="Q46" i="20"/>
  <c r="Q48" i="20"/>
  <c r="Q50" i="20"/>
  <c r="Q52" i="20"/>
  <c r="Q54" i="20"/>
  <c r="Q56" i="20"/>
  <c r="Q58" i="20"/>
  <c r="Q60" i="20"/>
  <c r="Q62" i="20"/>
  <c r="Q64" i="20"/>
  <c r="Q66" i="20"/>
  <c r="Q68" i="20"/>
  <c r="Q70" i="20"/>
  <c r="Q72" i="20"/>
  <c r="Q74" i="20"/>
  <c r="Q76" i="20"/>
  <c r="Q78" i="20"/>
  <c r="Q80" i="20"/>
  <c r="Q82" i="20"/>
  <c r="Q84" i="20"/>
  <c r="Q86" i="20"/>
  <c r="Q88" i="20"/>
  <c r="Q90" i="20"/>
  <c r="Q18" i="20"/>
  <c r="Q92" i="20"/>
  <c r="Q20" i="20"/>
  <c r="L82" i="11" l="1"/>
  <c r="I82" i="11"/>
  <c r="K82" i="11" s="1"/>
  <c r="I66" i="11"/>
  <c r="K66" i="11" s="1"/>
  <c r="L66" i="11"/>
  <c r="L50" i="11"/>
  <c r="I50" i="11"/>
  <c r="K50" i="11" s="1"/>
  <c r="L34" i="11"/>
  <c r="I34" i="11"/>
  <c r="K34" i="11" s="1"/>
  <c r="L32" i="11"/>
  <c r="I32" i="11"/>
  <c r="K32" i="11" s="1"/>
  <c r="I92" i="11"/>
  <c r="K92" i="11" s="1"/>
  <c r="L92" i="11"/>
  <c r="L78" i="11"/>
  <c r="I78" i="11"/>
  <c r="K78" i="11" s="1"/>
  <c r="L62" i="11"/>
  <c r="I62" i="11"/>
  <c r="K62" i="11" s="1"/>
  <c r="L46" i="11"/>
  <c r="I46" i="11"/>
  <c r="K46" i="11" s="1"/>
  <c r="L30" i="11"/>
  <c r="I30" i="11"/>
  <c r="K30" i="11" s="1"/>
  <c r="L48" i="11"/>
  <c r="I48" i="11"/>
  <c r="K48" i="11" s="1"/>
  <c r="I76" i="11"/>
  <c r="K76" i="11" s="1"/>
  <c r="L76" i="11"/>
  <c r="I60" i="11"/>
  <c r="K60" i="11" s="1"/>
  <c r="L60" i="11"/>
  <c r="I44" i="11"/>
  <c r="K44" i="11" s="1"/>
  <c r="L44" i="11"/>
  <c r="I28" i="11"/>
  <c r="K28" i="11" s="1"/>
  <c r="L28" i="11"/>
  <c r="I64" i="11"/>
  <c r="K64" i="11" s="1"/>
  <c r="L64" i="11"/>
  <c r="L90" i="11"/>
  <c r="I90" i="11"/>
  <c r="K90" i="11" s="1"/>
  <c r="I74" i="11"/>
  <c r="K74" i="11" s="1"/>
  <c r="L74" i="11"/>
  <c r="I58" i="11"/>
  <c r="K58" i="11" s="1"/>
  <c r="L58" i="11"/>
  <c r="L42" i="11"/>
  <c r="I42" i="11"/>
  <c r="K42" i="11" s="1"/>
  <c r="L88" i="11"/>
  <c r="I88" i="11"/>
  <c r="K88" i="11" s="1"/>
  <c r="L72" i="11"/>
  <c r="I72" i="11"/>
  <c r="K72" i="11" s="1"/>
  <c r="L56" i="11"/>
  <c r="I56" i="11"/>
  <c r="K56" i="11" s="1"/>
  <c r="L40" i="11"/>
  <c r="I40" i="11"/>
  <c r="K40" i="11" s="1"/>
  <c r="I26" i="11"/>
  <c r="K26" i="11" s="1"/>
  <c r="L26" i="11"/>
  <c r="L80" i="11"/>
  <c r="I80" i="11"/>
  <c r="K80" i="11" s="1"/>
  <c r="L86" i="11"/>
  <c r="I86" i="11"/>
  <c r="K86" i="11" s="1"/>
  <c r="L70" i="11"/>
  <c r="I70" i="11"/>
  <c r="K70" i="11" s="1"/>
  <c r="L54" i="11"/>
  <c r="I54" i="11"/>
  <c r="K54" i="11" s="1"/>
  <c r="L38" i="11"/>
  <c r="I38" i="11"/>
  <c r="K38" i="11" s="1"/>
  <c r="L24" i="11"/>
  <c r="I24" i="11"/>
  <c r="K24" i="11" s="1"/>
  <c r="I84" i="11"/>
  <c r="K84" i="11" s="1"/>
  <c r="L84" i="11"/>
  <c r="L68" i="11"/>
  <c r="I68" i="11"/>
  <c r="K68" i="11" s="1"/>
  <c r="I52" i="11"/>
  <c r="K52" i="11" s="1"/>
  <c r="L52" i="11"/>
  <c r="I36" i="11"/>
  <c r="L36" i="11"/>
  <c r="L16" i="11"/>
  <c r="I16" i="11"/>
  <c r="K16" i="11" s="1"/>
  <c r="AB84" i="20"/>
  <c r="AB78" i="20"/>
  <c r="AB54" i="20"/>
  <c r="AB38" i="20"/>
  <c r="I18" i="11"/>
  <c r="K18" i="11" s="1"/>
  <c r="L18" i="11"/>
  <c r="L20" i="11"/>
  <c r="I20" i="11"/>
  <c r="K20" i="11" s="1"/>
  <c r="I22" i="11"/>
  <c r="K22" i="11" s="1"/>
  <c r="L22" i="11"/>
  <c r="AB30" i="20"/>
  <c r="AB56" i="20"/>
  <c r="AB26" i="20"/>
  <c r="AB24" i="20"/>
  <c r="AB36" i="20"/>
  <c r="AB68" i="20"/>
  <c r="AB32" i="20"/>
  <c r="AB44" i="20"/>
  <c r="AB18" i="20"/>
  <c r="AB16" i="20"/>
  <c r="AB20" i="20"/>
  <c r="AB92" i="20"/>
  <c r="AB90" i="20"/>
  <c r="AB88" i="20"/>
  <c r="AB80" i="20"/>
  <c r="AB76" i="20"/>
  <c r="AB74" i="20"/>
  <c r="AB62" i="20"/>
  <c r="AB60" i="20"/>
  <c r="AB58" i="20"/>
  <c r="AB52" i="20"/>
  <c r="AB50" i="20"/>
  <c r="AB46" i="20"/>
  <c r="AB40" i="20"/>
  <c r="AB34" i="20"/>
  <c r="AB28" i="20"/>
  <c r="AB22" i="20"/>
  <c r="AB86" i="20"/>
  <c r="AB64" i="20"/>
  <c r="AB72" i="20"/>
  <c r="AB82" i="20"/>
  <c r="AB48" i="20"/>
  <c r="AB70" i="20"/>
  <c r="AB66" i="20"/>
  <c r="AB42" i="20"/>
  <c r="N78" i="11" l="1"/>
  <c r="N48" i="11"/>
  <c r="N82" i="11"/>
  <c r="N38" i="11"/>
  <c r="N46" i="11"/>
  <c r="N60" i="11"/>
  <c r="N26" i="11"/>
  <c r="N20" i="11"/>
  <c r="N62" i="11"/>
  <c r="N42" i="11"/>
  <c r="N76" i="11"/>
  <c r="N40" i="11"/>
  <c r="N80" i="11"/>
  <c r="N84" i="11"/>
  <c r="N68" i="11"/>
  <c r="N88" i="11"/>
  <c r="N64" i="11"/>
  <c r="N90" i="11"/>
  <c r="N86" i="11"/>
  <c r="N92" i="11"/>
  <c r="N24" i="11"/>
  <c r="N22" i="11"/>
  <c r="N16" i="11"/>
  <c r="N56" i="11"/>
  <c r="N70" i="11"/>
  <c r="N34" i="11"/>
  <c r="N74" i="11"/>
  <c r="N18" i="11"/>
  <c r="N54" i="11"/>
  <c r="O28" i="33"/>
  <c r="P28" i="33" s="1"/>
  <c r="Q28" i="33" s="1"/>
  <c r="N28" i="11"/>
  <c r="N52" i="11"/>
  <c r="N72" i="11"/>
  <c r="N32" i="11"/>
  <c r="O76" i="33"/>
  <c r="P76" i="33" s="1"/>
  <c r="Q76" i="33" s="1"/>
  <c r="O82" i="33"/>
  <c r="P82" i="33" s="1"/>
  <c r="Q82" i="33" s="1"/>
  <c r="O46" i="33"/>
  <c r="P46" i="33" s="1"/>
  <c r="Q46" i="33" s="1"/>
  <c r="O80" i="33"/>
  <c r="P80" i="33" s="1"/>
  <c r="Q80" i="33" s="1"/>
  <c r="O84" i="33"/>
  <c r="P84" i="33" s="1"/>
  <c r="Q84" i="33" s="1"/>
  <c r="O72" i="33"/>
  <c r="P72" i="33" s="1"/>
  <c r="Q72" i="33" s="1"/>
  <c r="O50" i="33"/>
  <c r="P50" i="33" s="1"/>
  <c r="Q50" i="33" s="1"/>
  <c r="O88" i="33"/>
  <c r="P88" i="33" s="1"/>
  <c r="Q88" i="33" s="1"/>
  <c r="O68" i="33"/>
  <c r="P68" i="33" s="1"/>
  <c r="Q68" i="33" s="1"/>
  <c r="O40" i="33"/>
  <c r="P40" i="33" s="1"/>
  <c r="Q40" i="33" s="1"/>
  <c r="O64" i="33"/>
  <c r="P64" i="33" s="1"/>
  <c r="Q64" i="33" s="1"/>
  <c r="O90" i="33"/>
  <c r="P90" i="33" s="1"/>
  <c r="Q90" i="33" s="1"/>
  <c r="O86" i="33"/>
  <c r="P86" i="33" s="1"/>
  <c r="Q86" i="33" s="1"/>
  <c r="O92" i="33"/>
  <c r="P92" i="33" s="1"/>
  <c r="Q92" i="33" s="1"/>
  <c r="O24" i="33"/>
  <c r="P24" i="33" s="1"/>
  <c r="Q24" i="33" s="1"/>
  <c r="O22" i="33"/>
  <c r="P22" i="33" s="1"/>
  <c r="Q22" i="33" s="1"/>
  <c r="O20" i="33"/>
  <c r="P20" i="33" s="1"/>
  <c r="Q20" i="33" s="1"/>
  <c r="O66" i="33"/>
  <c r="P66" i="33" s="1"/>
  <c r="Q66" i="33" s="1"/>
  <c r="O62" i="33"/>
  <c r="P62" i="33" s="1"/>
  <c r="Q62" i="33" s="1"/>
  <c r="O16" i="33"/>
  <c r="P16" i="33" s="1"/>
  <c r="Q16" i="33" s="1"/>
  <c r="O56" i="33"/>
  <c r="P56" i="33" s="1"/>
  <c r="Q56" i="33" s="1"/>
  <c r="O48" i="33"/>
  <c r="P48" i="33" s="1"/>
  <c r="Q48" i="33" s="1"/>
  <c r="O44" i="33"/>
  <c r="P44" i="33" s="1"/>
  <c r="Q44" i="33" s="1"/>
  <c r="N44" i="11"/>
  <c r="O52" i="33"/>
  <c r="P52" i="33" s="1"/>
  <c r="Q52" i="33" s="1"/>
  <c r="O36" i="33"/>
  <c r="P36" i="33" s="1"/>
  <c r="Q36" i="33" s="1"/>
  <c r="N36" i="11"/>
  <c r="O58" i="33"/>
  <c r="P58" i="33" s="1"/>
  <c r="Q58" i="33" s="1"/>
  <c r="O42" i="33"/>
  <c r="P42" i="33" s="1"/>
  <c r="Q42" i="33" s="1"/>
  <c r="O60" i="33"/>
  <c r="P60" i="33" s="1"/>
  <c r="Q60" i="33" s="1"/>
  <c r="O26" i="33"/>
  <c r="P26" i="33" s="1"/>
  <c r="Q26" i="33" s="1"/>
  <c r="O70" i="33"/>
  <c r="P70" i="33" s="1"/>
  <c r="Q70" i="33" s="1"/>
  <c r="O34" i="33"/>
  <c r="P34" i="33" s="1"/>
  <c r="Q34" i="33" s="1"/>
  <c r="O74" i="33"/>
  <c r="P74" i="33" s="1"/>
  <c r="Q74" i="33" s="1"/>
  <c r="O18" i="33"/>
  <c r="P18" i="33" s="1"/>
  <c r="Q18" i="33" s="1"/>
  <c r="O54" i="33"/>
  <c r="P54" i="33" s="1"/>
  <c r="Q54" i="33" s="1"/>
  <c r="N30" i="11"/>
  <c r="O30" i="33"/>
  <c r="P30" i="33" s="1"/>
  <c r="Q30" i="33" s="1"/>
  <c r="O78" i="33"/>
  <c r="P78" i="33" s="1"/>
  <c r="Q78" i="33" s="1"/>
  <c r="O38" i="33"/>
  <c r="P38" i="33" s="1"/>
  <c r="Q38" i="33" s="1"/>
  <c r="O32" i="33"/>
  <c r="P32" i="33" s="1"/>
  <c r="Q32" i="33" s="1"/>
  <c r="K36" i="11"/>
  <c r="N58" i="11"/>
  <c r="N66" i="11"/>
  <c r="N50" i="11"/>
  <c r="S78" i="33" l="1"/>
  <c r="T78" i="33" s="1"/>
  <c r="S86" i="33"/>
  <c r="T86" i="33" s="1"/>
  <c r="S72" i="33"/>
  <c r="T72" i="33" s="1"/>
  <c r="S90" i="33"/>
  <c r="T90" i="33" s="1"/>
  <c r="S30" i="33"/>
  <c r="T30" i="33" s="1"/>
  <c r="S34" i="33"/>
  <c r="T34" i="33" s="1"/>
  <c r="S52" i="33"/>
  <c r="T52" i="33" s="1"/>
  <c r="S62" i="33"/>
  <c r="T62" i="33" s="1"/>
  <c r="S84" i="33"/>
  <c r="T84" i="33" s="1"/>
  <c r="S28" i="33"/>
  <c r="T28" i="33" s="1"/>
  <c r="S44" i="33"/>
  <c r="T44" i="33" s="1"/>
  <c r="S70" i="33"/>
  <c r="T70" i="33" s="1"/>
  <c r="S64" i="33"/>
  <c r="T64" i="33" s="1"/>
  <c r="S40" i="33"/>
  <c r="T40" i="33" s="1"/>
  <c r="S66" i="33"/>
  <c r="T66" i="33" s="1"/>
  <c r="S20" i="33"/>
  <c r="T20" i="33" s="1"/>
  <c r="S32" i="33"/>
  <c r="T32" i="33" s="1"/>
  <c r="S60" i="33"/>
  <c r="T60" i="33" s="1"/>
  <c r="S68" i="33"/>
  <c r="T68" i="33" s="1"/>
  <c r="S38" i="33"/>
  <c r="T38" i="33" s="1"/>
  <c r="S42" i="33"/>
  <c r="T42" i="33" s="1"/>
  <c r="S24" i="33"/>
  <c r="T24" i="33" s="1"/>
  <c r="S88" i="33"/>
  <c r="T88" i="33" s="1"/>
  <c r="S76" i="33"/>
  <c r="T76" i="33" s="1"/>
  <c r="S80" i="33"/>
  <c r="T80" i="33" s="1"/>
  <c r="S26" i="33"/>
  <c r="T26" i="33" s="1"/>
  <c r="S46" i="33"/>
  <c r="T46" i="33" s="1"/>
  <c r="S54" i="33"/>
  <c r="T54" i="33" s="1"/>
  <c r="S48" i="33"/>
  <c r="T48" i="33" s="1"/>
  <c r="S22" i="33"/>
  <c r="T22" i="33" s="1"/>
  <c r="S82" i="33"/>
  <c r="T82" i="33" s="1"/>
  <c r="S18" i="33"/>
  <c r="T18" i="33" s="1"/>
  <c r="S58" i="33"/>
  <c r="T58" i="33" s="1"/>
  <c r="S56" i="33"/>
  <c r="T56" i="33" s="1"/>
  <c r="S92" i="33"/>
  <c r="T92" i="33" s="1"/>
  <c r="S50" i="33"/>
  <c r="T50" i="33" s="1"/>
  <c r="S16" i="33"/>
  <c r="T16" i="33" s="1"/>
  <c r="S74" i="33"/>
  <c r="T74" i="33" s="1"/>
  <c r="S36" i="33"/>
  <c r="T36" i="33" s="1"/>
  <c r="G120" i="11"/>
  <c r="O48" i="11"/>
  <c r="O20" i="11"/>
  <c r="Q20" i="11" l="1"/>
  <c r="R20" i="11" s="1"/>
  <c r="Q48" i="11"/>
  <c r="R48" i="11" s="1"/>
  <c r="H120" i="11" l="1"/>
  <c r="I120" i="11" l="1"/>
  <c r="L120" i="11"/>
  <c r="P12" i="26"/>
  <c r="O12" i="33" l="1"/>
  <c r="O120" i="33" s="1"/>
  <c r="M12" i="32"/>
  <c r="M120" i="11"/>
  <c r="M16" i="32" l="1"/>
  <c r="N12" i="32"/>
  <c r="P12" i="33"/>
  <c r="N120" i="11"/>
  <c r="P120" i="33" l="1"/>
  <c r="Q12" i="33"/>
  <c r="N16" i="32"/>
  <c r="O12" i="32"/>
  <c r="F89" i="15"/>
  <c r="Q120" i="33" l="1"/>
  <c r="AB128" i="33" s="1"/>
  <c r="S12" i="33"/>
  <c r="Q12" i="32"/>
  <c r="P16" i="32" s="1"/>
  <c r="O16" i="32"/>
  <c r="F87" i="15"/>
  <c r="F85" i="15"/>
  <c r="R120" i="33" l="1"/>
  <c r="AE128" i="33" s="1"/>
  <c r="Y12" i="33"/>
  <c r="AD128" i="33"/>
  <c r="AF128" i="33" s="1"/>
  <c r="R12" i="32"/>
  <c r="R16" i="32" s="1"/>
  <c r="T12" i="33"/>
  <c r="F83" i="15"/>
  <c r="T120" i="33" l="1"/>
  <c r="F11" i="15"/>
  <c r="F13" i="15" l="1"/>
  <c r="F81" i="15"/>
  <c r="F25" i="15"/>
  <c r="F73" i="15"/>
  <c r="F77" i="15"/>
  <c r="F59" i="15"/>
  <c r="F37" i="15"/>
  <c r="F21" i="15"/>
  <c r="F51" i="15"/>
  <c r="F79" i="15"/>
  <c r="F69" i="15"/>
  <c r="F45" i="15"/>
  <c r="F35" i="15"/>
  <c r="F19" i="15"/>
  <c r="F61" i="15"/>
  <c r="F27" i="15"/>
  <c r="F39" i="15"/>
  <c r="F17" i="15"/>
  <c r="F75" i="15"/>
  <c r="F49" i="15"/>
  <c r="F65" i="15"/>
  <c r="F71" i="15"/>
  <c r="F57" i="15"/>
  <c r="F43" i="15"/>
  <c r="F29" i="15"/>
  <c r="F67" i="15"/>
  <c r="F55" i="15"/>
  <c r="F33" i="15"/>
  <c r="F53" i="15"/>
  <c r="F41" i="15"/>
  <c r="F31" i="15"/>
  <c r="F23" i="15"/>
  <c r="F63" i="15" l="1"/>
  <c r="F47" i="15"/>
  <c r="F15" i="15" l="1"/>
  <c r="O16" i="11" l="1"/>
  <c r="O24" i="11"/>
  <c r="Q24" i="11" s="1"/>
  <c r="R24" i="11" s="1"/>
  <c r="O26" i="11"/>
  <c r="O22" i="11"/>
  <c r="O28" i="11"/>
  <c r="O30" i="11"/>
  <c r="Q30" i="11" s="1"/>
  <c r="R30" i="11" s="1"/>
  <c r="O32" i="11"/>
  <c r="O34" i="11"/>
  <c r="O36" i="11"/>
  <c r="O38" i="11"/>
  <c r="Q38" i="11" s="1"/>
  <c r="R38" i="11" s="1"/>
  <c r="O40" i="11"/>
  <c r="O42" i="11"/>
  <c r="O44" i="11"/>
  <c r="O46" i="11"/>
  <c r="Q46" i="11" s="1"/>
  <c r="R46" i="11" s="1"/>
  <c r="O50" i="11"/>
  <c r="O52" i="11"/>
  <c r="O54" i="11"/>
  <c r="Q54" i="11" s="1"/>
  <c r="R54" i="11" s="1"/>
  <c r="O56" i="11"/>
  <c r="O58" i="11"/>
  <c r="O60" i="11"/>
  <c r="O62" i="11"/>
  <c r="Q62" i="11" s="1"/>
  <c r="R62" i="11" s="1"/>
  <c r="O64" i="11"/>
  <c r="O66" i="11"/>
  <c r="O68" i="11"/>
  <c r="O70" i="11"/>
  <c r="Q70" i="11" s="1"/>
  <c r="R70" i="11" s="1"/>
  <c r="O72" i="11"/>
  <c r="O74" i="11"/>
  <c r="O76" i="11"/>
  <c r="O78" i="11"/>
  <c r="Q78" i="11" s="1"/>
  <c r="R78" i="11" s="1"/>
  <c r="O80" i="11"/>
  <c r="O82" i="11"/>
  <c r="O84" i="11"/>
  <c r="O86" i="11"/>
  <c r="Q86" i="11" s="1"/>
  <c r="R86" i="11" s="1"/>
  <c r="O88" i="11"/>
  <c r="O90" i="11"/>
  <c r="O18" i="11"/>
  <c r="O92" i="11"/>
  <c r="Q92" i="11" s="1"/>
  <c r="R92" i="11" s="1"/>
  <c r="O120" i="11" l="1"/>
  <c r="K120" i="11"/>
  <c r="Q90" i="11"/>
  <c r="R90" i="11" s="1"/>
  <c r="Q82" i="11"/>
  <c r="R82" i="11" s="1"/>
  <c r="Q74" i="11"/>
  <c r="R74" i="11" s="1"/>
  <c r="Q66" i="11"/>
  <c r="R66" i="11" s="1"/>
  <c r="Q58" i="11"/>
  <c r="R58" i="11" s="1"/>
  <c r="Q50" i="11"/>
  <c r="R50" i="11" s="1"/>
  <c r="Q40" i="11"/>
  <c r="R40" i="11" s="1"/>
  <c r="Q32" i="11"/>
  <c r="R32" i="11" s="1"/>
  <c r="Q26" i="11"/>
  <c r="R26" i="11" s="1"/>
  <c r="Q88" i="11"/>
  <c r="R88" i="11" s="1"/>
  <c r="Q72" i="11"/>
  <c r="R72" i="11" s="1"/>
  <c r="Q56" i="11"/>
  <c r="R56" i="11" s="1"/>
  <c r="Q44" i="11"/>
  <c r="R44" i="11" s="1"/>
  <c r="Q36" i="11"/>
  <c r="R36" i="11" s="1"/>
  <c r="Q28" i="11"/>
  <c r="R28" i="11" s="1"/>
  <c r="Q16" i="11"/>
  <c r="R16" i="11" s="1"/>
  <c r="Q80" i="11"/>
  <c r="R80" i="11" s="1"/>
  <c r="Q64" i="11"/>
  <c r="R64" i="11" s="1"/>
  <c r="Q18" i="11"/>
  <c r="R18" i="11" s="1"/>
  <c r="Q84" i="11"/>
  <c r="R84" i="11" s="1"/>
  <c r="Q76" i="11"/>
  <c r="R76" i="11" s="1"/>
  <c r="Q68" i="11"/>
  <c r="R68" i="11" s="1"/>
  <c r="Q60" i="11"/>
  <c r="R60" i="11" s="1"/>
  <c r="Q52" i="11"/>
  <c r="R52" i="11" s="1"/>
  <c r="Q42" i="11"/>
  <c r="R42" i="11" s="1"/>
  <c r="Q34" i="11"/>
  <c r="R34" i="11" s="1"/>
  <c r="Q22" i="11"/>
  <c r="R22" i="11" s="1"/>
  <c r="P120" i="11" l="1"/>
  <c r="R120" i="11" l="1"/>
  <c r="F9" i="15"/>
  <c r="F91" i="15" l="1"/>
  <c r="AC130" i="33" l="1"/>
  <c r="AE130" i="33" l="1"/>
  <c r="AD124" i="33" l="1"/>
  <c r="AF124" i="33" s="1"/>
  <c r="AB130" i="33"/>
  <c r="AF130" i="33" l="1"/>
  <c r="AD130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<sst xmlns="http://schemas.openxmlformats.org/spreadsheetml/2006/main" count="1680" uniqueCount="534">
  <si>
    <t>TABEL PERHITUNGAN PRODUKTIVITAS KERJA PEGAWAI NEGERI SIPIL</t>
  </si>
  <si>
    <t>NO</t>
  </si>
  <si>
    <t>NAMA</t>
  </si>
  <si>
    <t>NIP</t>
  </si>
  <si>
    <t>JABATAN</t>
  </si>
  <si>
    <t>JUMLAH WKE</t>
  </si>
  <si>
    <t>PRODUKTIVITAS KERJA</t>
  </si>
  <si>
    <t>PERILAKU</t>
  </si>
  <si>
    <t>JUMLAH</t>
  </si>
  <si>
    <t>% TPP DARI UNSUR PRODUKTIVITAS</t>
  </si>
  <si>
    <t>JUMLAH HARI KERJA</t>
  </si>
  <si>
    <t>JUMLAH HARI TIDAK MASUK KERJA</t>
  </si>
  <si>
    <t>P1</t>
  </si>
  <si>
    <t>P2</t>
  </si>
  <si>
    <t>P3</t>
  </si>
  <si>
    <t>P4</t>
  </si>
  <si>
    <t>hari</t>
  </si>
  <si>
    <t>PERHITUNGAN % KETIDAKTAATAN JAM KERJA</t>
  </si>
  <si>
    <t>0.5%</t>
  </si>
  <si>
    <t>1.25%</t>
  </si>
  <si>
    <t>1.5%</t>
  </si>
  <si>
    <t>NAMA/NIP</t>
  </si>
  <si>
    <t>JENIS TPP</t>
  </si>
  <si>
    <t>TPP BK</t>
  </si>
  <si>
    <t>DISIPLIN KERJA</t>
  </si>
  <si>
    <t>JUMLAH TPP KOTOR</t>
  </si>
  <si>
    <t>BPJS 1%</t>
  </si>
  <si>
    <t>PPh 21</t>
  </si>
  <si>
    <t>JUMLAH TPP BERSIH</t>
  </si>
  <si>
    <t>TANDA TANGAN</t>
  </si>
  <si>
    <t>PENGURANGAN</t>
  </si>
  <si>
    <t xml:space="preserve">Drs. SARIANTO                                                                    </t>
  </si>
  <si>
    <t xml:space="preserve">R I D W A N, S.Sos                                     </t>
  </si>
  <si>
    <t xml:space="preserve">ANDI SYAMSIAH, SE                                         </t>
  </si>
  <si>
    <t xml:space="preserve">AMIR SAPIRIHAR, S.Sos           </t>
  </si>
  <si>
    <t xml:space="preserve">ARY ARFAN, SAP, M.Si </t>
  </si>
  <si>
    <t>198304082008011011</t>
  </si>
  <si>
    <t xml:space="preserve">A I D I L, S.Sos                                                             </t>
  </si>
  <si>
    <t xml:space="preserve">NASMAH H, SIP                                                  </t>
  </si>
  <si>
    <t xml:space="preserve">KHALIL ACO, S.Sos                   </t>
  </si>
  <si>
    <t>197207051992031005</t>
  </si>
  <si>
    <t>198110282000031001</t>
  </si>
  <si>
    <t>196909121994031008</t>
  </si>
  <si>
    <t>197408082006042026</t>
  </si>
  <si>
    <t>196804242000031013</t>
  </si>
  <si>
    <t>196912311994031108</t>
  </si>
  <si>
    <t>198008142007012008</t>
  </si>
  <si>
    <t>198407292003122002</t>
  </si>
  <si>
    <t xml:space="preserve">A. DWI NUNGRAENI,S.Sos                         </t>
  </si>
  <si>
    <t xml:space="preserve">SAHARUNA, S.IP                                                 </t>
  </si>
  <si>
    <t>198001282007011013</t>
  </si>
  <si>
    <t xml:space="preserve"> 197801122008012011</t>
  </si>
  <si>
    <t xml:space="preserve">MURNIATI TOLA, S.IP                                           </t>
  </si>
  <si>
    <t xml:space="preserve">NURHALISAH, A.Md                                           </t>
  </si>
  <si>
    <t>198104302006042022</t>
  </si>
  <si>
    <t xml:space="preserve">ANDI MUKHYAR IKHSAN, S.IP                                   </t>
  </si>
  <si>
    <t>198206032008011009</t>
  </si>
  <si>
    <t xml:space="preserve">SAMSIAH, S.IP                                                               </t>
  </si>
  <si>
    <t>197909262006042013</t>
  </si>
  <si>
    <t xml:space="preserve">AKHSAN, S.IP                      </t>
  </si>
  <si>
    <t xml:space="preserve">PERAWATI P, S.Si                </t>
  </si>
  <si>
    <t>198210202012122004</t>
  </si>
  <si>
    <t xml:space="preserve">MAQFUR SALEH, A.Md. Kom          </t>
  </si>
  <si>
    <t>198008182009011015</t>
  </si>
  <si>
    <t xml:space="preserve">RUSMAN RUBAMA                           </t>
  </si>
  <si>
    <t>197805032009011006</t>
  </si>
  <si>
    <t xml:space="preserve">MUHAMMAD AKBAR, S.IP                  </t>
  </si>
  <si>
    <t>198908082010011001</t>
  </si>
  <si>
    <t xml:space="preserve">ZULKIFLI, SH                                                                  </t>
  </si>
  <si>
    <t>198407012014121003</t>
  </si>
  <si>
    <t xml:space="preserve">ABDUL RAHMAN MADJID, S.Kom </t>
  </si>
  <si>
    <t>198010062011011003</t>
  </si>
  <si>
    <t xml:space="preserve">MUNAWIR                               </t>
  </si>
  <si>
    <t>198602062009041001</t>
  </si>
  <si>
    <t>198608032006021001</t>
  </si>
  <si>
    <t>198501042010011014</t>
  </si>
  <si>
    <t xml:space="preserve">HARIAWAN SAPUTRA, A.Md                      </t>
  </si>
  <si>
    <t>197612312007011093</t>
  </si>
  <si>
    <t>198511012014121001</t>
  </si>
  <si>
    <t xml:space="preserve">MUKTI FAHDIANSYAH, S.STP             </t>
  </si>
  <si>
    <t xml:space="preserve">MUH. ADE DJAFAR, S.Kom           </t>
  </si>
  <si>
    <t xml:space="preserve">AHMAD DZULKARNAIN, S.Kom     </t>
  </si>
  <si>
    <t xml:space="preserve">WAHYUNI, S.IP                                               </t>
  </si>
  <si>
    <t>199202282011012001</t>
  </si>
  <si>
    <t xml:space="preserve">PERANGKAT DAERAH </t>
  </si>
  <si>
    <t>: BADAN KEPEGAWAIAN PENDIDIKAN DAN PELATIHAN</t>
  </si>
  <si>
    <t>JML</t>
  </si>
  <si>
    <t>Pranata Sidik Jari pada Sub Bidang Pembinaan Disiplin dan Kinerja/Anggota PPTK</t>
  </si>
  <si>
    <t xml:space="preserve">INDRIYANI, A.Md                </t>
  </si>
  <si>
    <t>198012292006042011</t>
  </si>
  <si>
    <t xml:space="preserve">BULAN </t>
  </si>
  <si>
    <t xml:space="preserve">KEPALA BADAN KEPEGAWAIAN </t>
  </si>
  <si>
    <t>PENDIDIKAN DAN PELATIHAN</t>
  </si>
  <si>
    <t>Pangkat</t>
  </si>
  <si>
    <t>NIP.</t>
  </si>
  <si>
    <t>SYAFARUDDIN, S.Sos</t>
  </si>
  <si>
    <t>198308112009011004</t>
  </si>
  <si>
    <t>DAFTAR TPP BADAN KEPEGAWAIAN PENDIDIKAN DAN PELATIHAN (BKPP)</t>
  </si>
  <si>
    <t>NOMOR HP</t>
  </si>
  <si>
    <t>No. REKENING</t>
  </si>
  <si>
    <t>085242627674</t>
  </si>
  <si>
    <t>085298878878</t>
  </si>
  <si>
    <t>085255287100</t>
  </si>
  <si>
    <t>085255533299</t>
  </si>
  <si>
    <t>085340978555</t>
  </si>
  <si>
    <t>085242003007</t>
  </si>
  <si>
    <t>082188990809</t>
  </si>
  <si>
    <t>082347034533</t>
  </si>
  <si>
    <t>081355884180</t>
  </si>
  <si>
    <t>085242229872</t>
  </si>
  <si>
    <t>082349514715</t>
  </si>
  <si>
    <t>085334001705</t>
  </si>
  <si>
    <t>082194319955</t>
  </si>
  <si>
    <t>082187830444</t>
  </si>
  <si>
    <t>085341727060</t>
  </si>
  <si>
    <t>070-201-000011347-0</t>
  </si>
  <si>
    <t>081342586632</t>
  </si>
  <si>
    <t>081343919140</t>
  </si>
  <si>
    <t>085255660006</t>
  </si>
  <si>
    <t>085255543900</t>
  </si>
  <si>
    <t>081340219899</t>
  </si>
  <si>
    <t>081384378870</t>
  </si>
  <si>
    <t>081257926188</t>
  </si>
  <si>
    <t>082188992121</t>
  </si>
  <si>
    <t>081342055890</t>
  </si>
  <si>
    <t>085247225136</t>
  </si>
  <si>
    <t>085255701659</t>
  </si>
  <si>
    <t>Hp</t>
  </si>
  <si>
    <t>A</t>
  </si>
  <si>
    <t>I</t>
  </si>
  <si>
    <t>TB</t>
  </si>
  <si>
    <t>PC</t>
  </si>
  <si>
    <t xml:space="preserve">MUH. SAHAL HALIM, S.Kom  </t>
  </si>
  <si>
    <t xml:space="preserve">Drs. SARIANTO                                                                     </t>
  </si>
  <si>
    <t>Nip.197207051992031005</t>
  </si>
  <si>
    <t>Nip.198110282000031001</t>
  </si>
  <si>
    <t xml:space="preserve">MUHAMMAD BAHRUM.S.Sos    </t>
  </si>
  <si>
    <t>Nip.196909121994031008</t>
  </si>
  <si>
    <t xml:space="preserve">R I D W A N, S.Sos                               </t>
  </si>
  <si>
    <t>Nip.197408082006042026</t>
  </si>
  <si>
    <t xml:space="preserve">ANDI SYAMSIAH, SE                                           </t>
  </si>
  <si>
    <t>Nip.196804242000031013</t>
  </si>
  <si>
    <t>Nip.198304082008011011</t>
  </si>
  <si>
    <t>Nip.198608032006021001</t>
  </si>
  <si>
    <t>Nip.196912311994031108</t>
  </si>
  <si>
    <t xml:space="preserve">KHALIL ACO, S.Sos                    </t>
  </si>
  <si>
    <t>Nip.196901191996031005</t>
  </si>
  <si>
    <t xml:space="preserve">A I D I L, S.Sos                                                                </t>
  </si>
  <si>
    <t>Nip.198407292003122002</t>
  </si>
  <si>
    <t>Nip.198008182009011015</t>
  </si>
  <si>
    <t>Nip.198308112009011004</t>
  </si>
  <si>
    <t xml:space="preserve">SYAFARUDDIN, S.Sos                                        </t>
  </si>
  <si>
    <t xml:space="preserve">INDRIYANI, A.Md                                          </t>
  </si>
  <si>
    <t>Nip.198012292006042011</t>
  </si>
  <si>
    <t>Nip.19920228 201101 2 001</t>
  </si>
  <si>
    <t>Nip.198511012014121001</t>
  </si>
  <si>
    <t xml:space="preserve">AHMAD DZULKARNAIN, S.Kom            </t>
  </si>
  <si>
    <t>Nip.198501042010011014</t>
  </si>
  <si>
    <t xml:space="preserve">MUH. ADE DJAFAR, S.Kom., M.AP                 </t>
  </si>
  <si>
    <t>Nip.198602062009041004</t>
  </si>
  <si>
    <t>Nip.198001282007011013</t>
  </si>
  <si>
    <t>Nip.197801122008012011</t>
  </si>
  <si>
    <t>Nip.198104302006042022</t>
  </si>
  <si>
    <t>Nip.198512312014091001</t>
  </si>
  <si>
    <t>Nip.198010062011011003</t>
  </si>
  <si>
    <t>Nip.198407012014121003</t>
  </si>
  <si>
    <t>Nip.198908082010011001</t>
  </si>
  <si>
    <t>Nip.197805032009011006</t>
  </si>
  <si>
    <t xml:space="preserve">SAHARUNA, S.IP                                                  </t>
  </si>
  <si>
    <t xml:space="preserve">MURNIATI TOLA, S.IP                                             </t>
  </si>
  <si>
    <t xml:space="preserve">MUNAWIR                             </t>
  </si>
  <si>
    <t>Nip.198206032008011009</t>
  </si>
  <si>
    <t>Nip.198008142007012008</t>
  </si>
  <si>
    <t xml:space="preserve">NASMAH H, SIP                                                   </t>
  </si>
  <si>
    <t>Nip.197612312007011093</t>
  </si>
  <si>
    <t xml:space="preserve">AKHSAN, S.IP                       </t>
  </si>
  <si>
    <t>Nip.197909262006042013</t>
  </si>
  <si>
    <t>Nip.98210202012122004</t>
  </si>
  <si>
    <t xml:space="preserve">Pengelola Gaji </t>
  </si>
  <si>
    <t>JUMLAH TPP SETELAH POTONGAN BPJS</t>
  </si>
  <si>
    <t>menit</t>
  </si>
  <si>
    <t>: Pembina Utama Muda</t>
  </si>
  <si>
    <t>085397024532</t>
  </si>
  <si>
    <t>085156766369</t>
  </si>
  <si>
    <t>081242260550</t>
  </si>
  <si>
    <t>Nip. 198511112015031002</t>
  </si>
  <si>
    <t>198511112015031002</t>
  </si>
  <si>
    <t>085341108729</t>
  </si>
  <si>
    <t>BULAN MEI 2022</t>
  </si>
  <si>
    <t>070-201-000012598-2</t>
  </si>
  <si>
    <t>070-201-0000110446</t>
  </si>
  <si>
    <t>070-201-0000122916</t>
  </si>
  <si>
    <t>070-201-0000122932</t>
  </si>
  <si>
    <t>070-201-0000122258</t>
  </si>
  <si>
    <t>070-201-000012084-1</t>
  </si>
  <si>
    <t>070-201-0000115634</t>
  </si>
  <si>
    <t>070-201-0000123700</t>
  </si>
  <si>
    <t>070-201-0000148290</t>
  </si>
  <si>
    <t>070-201-0000122576</t>
  </si>
  <si>
    <t>070-201-0000123122</t>
  </si>
  <si>
    <t>070-201-0000113615</t>
  </si>
  <si>
    <t>070-201-0000160982</t>
  </si>
  <si>
    <t>070-201-0000113682</t>
  </si>
  <si>
    <t>070-201-0000181751</t>
  </si>
  <si>
    <t>070-201-0000129287</t>
  </si>
  <si>
    <t>070-201-0000137948</t>
  </si>
  <si>
    <t>070-201-0000150421</t>
  </si>
  <si>
    <t>070-201-0000186841</t>
  </si>
  <si>
    <t>070-201-0000158457</t>
  </si>
  <si>
    <t>070-201-0000185730</t>
  </si>
  <si>
    <t>070-201-0000185748</t>
  </si>
  <si>
    <t>BULAN DESEMBER 2021</t>
  </si>
  <si>
    <t>BULAN JANUARI 2022</t>
  </si>
  <si>
    <t>BULAN MARET 2022</t>
  </si>
  <si>
    <t>BULAN APRIL 2022</t>
  </si>
  <si>
    <t>DAFTAR TPP BKPP</t>
  </si>
  <si>
    <t xml:space="preserve"> TAHUN ANGGARAN 2022</t>
  </si>
  <si>
    <t>TAHUN ANGGARAN 2022</t>
  </si>
  <si>
    <t>BULAN  FEBRUARI 2022</t>
  </si>
  <si>
    <t>FITRIA ULFA MAKMUR, S.E</t>
  </si>
  <si>
    <t>Nip. 199004242022022001</t>
  </si>
  <si>
    <t>TRIANTO UTOMO, S.E</t>
  </si>
  <si>
    <t>Nip. 199306042022021001</t>
  </si>
  <si>
    <t>YUYUN ELVANDARI PUTRI</t>
  </si>
  <si>
    <t>Nip. 198408222014062006</t>
  </si>
  <si>
    <t>INDAH WAHYUNI</t>
  </si>
  <si>
    <t>Nip. 198610222012122002</t>
  </si>
  <si>
    <t xml:space="preserve">MUNAWIR, S.IP                           </t>
  </si>
  <si>
    <t>199004242022022001</t>
  </si>
  <si>
    <t>199306042022021001</t>
  </si>
  <si>
    <t>198408222014062006</t>
  </si>
  <si>
    <t>198610222012122002</t>
  </si>
  <si>
    <t>082346745900</t>
  </si>
  <si>
    <t>085299692210</t>
  </si>
  <si>
    <t>085342958189</t>
  </si>
  <si>
    <t>082393520340</t>
  </si>
  <si>
    <t>Ir. BUDI UTOMO ABDULLAH, MM</t>
  </si>
  <si>
    <t>196605201992031017</t>
  </si>
  <si>
    <t>WATI, S.AN</t>
  </si>
  <si>
    <t>Nip. 198008172007012023</t>
  </si>
  <si>
    <t>Nip. 197411071993031003</t>
  </si>
  <si>
    <t>SHALSHA ANUGRAH RAHMAN, S.Tr.I.P</t>
  </si>
  <si>
    <t>Nip. 200109302023082001</t>
  </si>
  <si>
    <t>ANDI ILHAM JAYA, S.So, M.M</t>
  </si>
  <si>
    <t>ZETH DIANTO N.G, S.IP, M.Si</t>
  </si>
  <si>
    <t>Nip. 198412102011011009</t>
  </si>
  <si>
    <t>FAHMI SYARIF, S.Kom, MM</t>
  </si>
  <si>
    <t>Tb 1</t>
  </si>
  <si>
    <t>Tb 2</t>
  </si>
  <si>
    <t>Tb 3</t>
  </si>
  <si>
    <t>Tb 4</t>
  </si>
  <si>
    <t>Pc 1</t>
  </si>
  <si>
    <t>Pc 2</t>
  </si>
  <si>
    <t>Pc 3</t>
  </si>
  <si>
    <t>Pc 4</t>
  </si>
  <si>
    <t>RATING</t>
  </si>
  <si>
    <t>HASIL KERJA</t>
  </si>
  <si>
    <t>PANGKAT/GOL. RUANG</t>
  </si>
  <si>
    <t>Pembina Tk.I/IVb</t>
  </si>
  <si>
    <t>Pembina/IVa</t>
  </si>
  <si>
    <t>Penata/IIIc</t>
  </si>
  <si>
    <t>Penata Tk.I/IIId</t>
  </si>
  <si>
    <t>Penata Muda Tk.I/IIIb</t>
  </si>
  <si>
    <t>Penata Muda/IIIa</t>
  </si>
  <si>
    <t>PREDIKAT KINERJA</t>
  </si>
  <si>
    <t>% KINERJA PEGAWAI</t>
  </si>
  <si>
    <t>Perkeg</t>
  </si>
  <si>
    <t>Keterangan :</t>
  </si>
  <si>
    <t>Rating Predikat kinerja Pegawai sangat baik, diberikan TPP dari unsur Produktifitas sebesar 100%</t>
  </si>
  <si>
    <t>Rating Predikat kinerja Pegawai baik, diberikan TPP dari unsur Produktifitas sebesar 100%</t>
  </si>
  <si>
    <t>Rating Predikat butuh perbaikan, diberikan TPP dari unsur Produktifitas sebesar 75%</t>
  </si>
  <si>
    <t>Rating Predikat Kinerja kurang/miscounduct, diberikan TPP dari unsur Produktifitas sebesar 50%</t>
  </si>
  <si>
    <t>Rating Predikat Kinerja kurang, diberikan TPP dari unsur Produktifitas sebesar 0%</t>
  </si>
  <si>
    <t>: 196605201992031017</t>
  </si>
  <si>
    <t>Ka. Bidang Pengadaan, Informasi &amp; Kinerja Pegawai</t>
  </si>
  <si>
    <t>Kabid. Amidnistrasi Kepegawaian</t>
  </si>
  <si>
    <t>Plt. Ka. Sub. Bagian Umum &amp; Kepegawaian</t>
  </si>
  <si>
    <t>Analis SDM Aparatur Ahli Muda</t>
  </si>
  <si>
    <t>Ka. Sub. Bagian Keuangan, Perencanaan &amp; Pelaporan</t>
  </si>
  <si>
    <t>Analis Kinerja</t>
  </si>
  <si>
    <t>Analis Pengembangan Karir</t>
  </si>
  <si>
    <t xml:space="preserve">Pengelola Kepegawaian  </t>
  </si>
  <si>
    <t xml:space="preserve">Penyusun Laporan Keuangan </t>
  </si>
  <si>
    <t>Pengelola Penyelengaraan Diklat</t>
  </si>
  <si>
    <t>Pengelola Surat</t>
  </si>
  <si>
    <t xml:space="preserve">Bendahara </t>
  </si>
  <si>
    <t>Pranata Diklat</t>
  </si>
  <si>
    <t>Analisis Pengembangan Karir</t>
  </si>
  <si>
    <t>Pengelola Data</t>
  </si>
  <si>
    <t>Pengelola Pemanfaatan Barang Milik  Daerah</t>
  </si>
  <si>
    <t xml:space="preserve">Pengadministrasi Tugas Belajar dan Ijin Belajar </t>
  </si>
  <si>
    <t>Pengelola Situs atau Web</t>
  </si>
  <si>
    <t>Analis Penegakan Integritas dan Disiplin SDM Aparatur</t>
  </si>
  <si>
    <t>Analis Pengembangan Kompetensi</t>
  </si>
  <si>
    <t xml:space="preserve">Pengelola Surat </t>
  </si>
  <si>
    <t>197308031994021002</t>
  </si>
  <si>
    <t xml:space="preserve"> 198412102011011009</t>
  </si>
  <si>
    <t>198008172007012023</t>
  </si>
  <si>
    <t>197411071993031003</t>
  </si>
  <si>
    <t>200109302023082001</t>
  </si>
  <si>
    <t>070-2010000-163116</t>
  </si>
  <si>
    <t>070-201-0000122550</t>
  </si>
  <si>
    <t>070-201-0000211323</t>
  </si>
  <si>
    <t>070-201-0000122584</t>
  </si>
  <si>
    <t>072-201-0000107819</t>
  </si>
  <si>
    <t>070-201-0000173847</t>
  </si>
  <si>
    <t>074-201-0000005200</t>
  </si>
  <si>
    <t>070-201-0000235214</t>
  </si>
  <si>
    <t>070-201-0000235052</t>
  </si>
  <si>
    <t>070-201-0000236423</t>
  </si>
  <si>
    <t>070-201-0000198815</t>
  </si>
  <si>
    <t>073-201-0000049589</t>
  </si>
  <si>
    <t>70-201-0000151304</t>
  </si>
  <si>
    <t>070-201-0000158104</t>
  </si>
  <si>
    <t>072-201-0000072152</t>
  </si>
  <si>
    <t>BULAN JANUARI 2025</t>
  </si>
  <si>
    <r>
      <t xml:space="preserve">: </t>
    </r>
    <r>
      <rPr>
        <i/>
        <u/>
        <sz val="8"/>
        <color theme="1"/>
        <rFont val="Calibri"/>
        <family val="2"/>
        <scheme val="minor"/>
      </rPr>
      <t>085341727060</t>
    </r>
    <r>
      <rPr>
        <i/>
        <sz val="8"/>
        <color theme="1"/>
        <rFont val="Calibri"/>
        <family val="2"/>
        <scheme val="minor"/>
      </rPr>
      <t xml:space="preserve"> (Pengelola Gaji)</t>
    </r>
  </si>
  <si>
    <t>085299187725</t>
  </si>
  <si>
    <t>081344394111</t>
  </si>
  <si>
    <t>082289626555</t>
  </si>
  <si>
    <t>085272522555</t>
  </si>
  <si>
    <t>081342082622</t>
  </si>
  <si>
    <t>070-201-000121677</t>
  </si>
  <si>
    <t>070-201-0000222031</t>
  </si>
  <si>
    <t>085258185988</t>
  </si>
  <si>
    <t>206-201-0000018334</t>
  </si>
  <si>
    <t>Analis Pengembangan Karir pada Sub Bidang Kepangkatan</t>
  </si>
  <si>
    <t>Pranata Sidik Jari pada Sub Bidang Pembinaan Disiplin dan Kinerja</t>
  </si>
  <si>
    <t>Pengatur /IIc</t>
  </si>
  <si>
    <t xml:space="preserve">TDK </t>
  </si>
  <si>
    <t>SESUAI EKSEPEKTASI</t>
  </si>
  <si>
    <t>BAIK</t>
  </si>
  <si>
    <t xml:space="preserve">Pengadministrasi Umum Kepegawaian </t>
  </si>
  <si>
    <t>Jumlah Kotor</t>
  </si>
  <si>
    <t>BPJS</t>
  </si>
  <si>
    <t>Jumlah Kotor + BPJS</t>
  </si>
  <si>
    <t>PPH 21</t>
  </si>
  <si>
    <t>Jml Kotor-PPh 21</t>
  </si>
  <si>
    <t>: Pembina Tk.I</t>
  </si>
  <si>
    <t>JUMLAH TPP BULAN APRIL 2025</t>
  </si>
  <si>
    <t>Polewali,   Agustus 2025</t>
  </si>
  <si>
    <t>2,511,500</t>
  </si>
  <si>
    <t>7(6*1%)</t>
  </si>
  <si>
    <t>8(6-7)</t>
  </si>
  <si>
    <t>11(8*9)</t>
  </si>
  <si>
    <t>14(12-13)</t>
  </si>
  <si>
    <t>15(11+14)</t>
  </si>
  <si>
    <t>17(15-16)</t>
  </si>
  <si>
    <t>MUHAMMAD NARWIS, S.STP., MA.</t>
  </si>
  <si>
    <t>Nip. 198610182006021001</t>
  </si>
  <si>
    <t>Ka. Bidang Pendidikan  &amp; Pelatihan</t>
  </si>
  <si>
    <t>Analis Pengembangan Kompetensi Aparatur Sipil Negara Ahli Muda</t>
  </si>
  <si>
    <t>INDAH WAHYUNI, S.E</t>
  </si>
  <si>
    <t>FRIDA SYAHRUNINNISA, S.Psi</t>
  </si>
  <si>
    <t>Asesor Sumber Daya Manusia Ahli Pertama</t>
  </si>
  <si>
    <t>ANDI REZKY ANANDA AMALIA, S.E,</t>
  </si>
  <si>
    <t>RAHMI HALMIYAH. S. S.Psi</t>
  </si>
  <si>
    <t>RINI SAHRAINI, S.Sos</t>
  </si>
  <si>
    <t>NURHIDAYA RUSMAN, S.Kom</t>
  </si>
  <si>
    <t>Pranata Komputer Ahli Pertama</t>
  </si>
  <si>
    <t>FATIHIA, S.A.P</t>
  </si>
  <si>
    <t>Arsiparis Ahli Pertama</t>
  </si>
  <si>
    <t>WAHYUNI, S.T</t>
  </si>
  <si>
    <t>MUH. RIZAL SYAHRIAR, S.A.P</t>
  </si>
  <si>
    <t>SAFIRAH RIFANI FARID, S.M</t>
  </si>
  <si>
    <t>CPNS/IIIa</t>
  </si>
  <si>
    <t>MUH NURHUZAIN R, S.T</t>
  </si>
  <si>
    <t>SULPIANA, S.T</t>
  </si>
  <si>
    <t>NUR AWALIA. S. Z. ABIDIN, S. Kom</t>
  </si>
  <si>
    <t>ARIYANTO DWI PUTRA, S.T</t>
  </si>
  <si>
    <t>Kelas jabatan</t>
  </si>
  <si>
    <t>Bulan</t>
  </si>
  <si>
    <t>Jumlah pemangku</t>
  </si>
  <si>
    <t>beban kerja/Bln</t>
  </si>
  <si>
    <t>beban kerja/12 BLN</t>
  </si>
  <si>
    <t>Administrator</t>
  </si>
  <si>
    <t>Pimpinan Tinggi</t>
  </si>
  <si>
    <t>Pengawas</t>
  </si>
  <si>
    <t>Fungsional</t>
  </si>
  <si>
    <t>Funsional CPNS</t>
  </si>
  <si>
    <t xml:space="preserve"> Ka. Sub. Bagian Umum &amp; Kepegawaian</t>
  </si>
  <si>
    <t>Ka. Bidang</t>
  </si>
  <si>
    <t>Analis SDM Aparatur Ahli Madya</t>
  </si>
  <si>
    <t>Pelaksana</t>
  </si>
  <si>
    <t>Sekretariat BKPP</t>
  </si>
  <si>
    <t>Sub. Bagian Keuangan</t>
  </si>
  <si>
    <t>Analis SDM Aparatur Ahli Pertama</t>
  </si>
  <si>
    <t>Prnata Sumbedaya Manusia Penyedia</t>
  </si>
  <si>
    <t>Mutasi/Pangkat</t>
  </si>
  <si>
    <t>Tri</t>
  </si>
  <si>
    <t>Nasma</t>
  </si>
  <si>
    <t>Murni</t>
  </si>
  <si>
    <t>Diklat</t>
  </si>
  <si>
    <t>Ade</t>
  </si>
  <si>
    <t>wawan</t>
  </si>
  <si>
    <t>Ica</t>
  </si>
  <si>
    <t>Maqfur/Fhmi</t>
  </si>
  <si>
    <t>indah</t>
  </si>
  <si>
    <t>PIK</t>
  </si>
  <si>
    <t>Nawir</t>
  </si>
  <si>
    <t>wiwi/Shalsa</t>
  </si>
  <si>
    <t>Sahal</t>
  </si>
  <si>
    <t>Akbar/Pera</t>
  </si>
  <si>
    <t>Zul</t>
  </si>
  <si>
    <t>Indri</t>
  </si>
  <si>
    <t>Fitri</t>
  </si>
  <si>
    <t>Cia</t>
  </si>
  <si>
    <t>PNS</t>
  </si>
  <si>
    <t>CPNS</t>
  </si>
  <si>
    <t>P3K</t>
  </si>
  <si>
    <t>Perencana Ahli Pertama</t>
  </si>
  <si>
    <t>Pengadministrasi Perkantoran</t>
  </si>
  <si>
    <t>Total</t>
  </si>
  <si>
    <t>Ammang</t>
  </si>
  <si>
    <t xml:space="preserve">Funsional </t>
  </si>
  <si>
    <t>Una/Sapar/Khalil</t>
  </si>
  <si>
    <t>Jenis Jabatan</t>
  </si>
  <si>
    <t>Jabatan</t>
  </si>
  <si>
    <t>Ka.Badan BKPSDM</t>
  </si>
  <si>
    <t>Sekretris Badan</t>
  </si>
  <si>
    <t>PPPK</t>
  </si>
  <si>
    <t>TPP (60%)</t>
  </si>
  <si>
    <t>TPP (40%)</t>
  </si>
  <si>
    <t>9(8*60%)</t>
  </si>
  <si>
    <t>12(8*40%)</t>
  </si>
  <si>
    <t>Dialog/Apel/Upacara</t>
  </si>
  <si>
    <t>Nip. 199908012025042004</t>
  </si>
  <si>
    <t>Nip. 199910052025042003</t>
  </si>
  <si>
    <t>Nip. 199902152025042001</t>
  </si>
  <si>
    <t>Nip. 199905112025042002</t>
  </si>
  <si>
    <t>Nip.199210082025041001</t>
  </si>
  <si>
    <t>Nip. 199811062025042001</t>
  </si>
  <si>
    <t>Nip. 199810122025042002</t>
  </si>
  <si>
    <t>Nip. 199903122025042001</t>
  </si>
  <si>
    <t>Nip. 199806142025041002</t>
  </si>
  <si>
    <t>Nip. 200012122025042002</t>
  </si>
  <si>
    <t>Nip. 199905252025042001</t>
  </si>
  <si>
    <t>Nip. 199507072025041001</t>
  </si>
  <si>
    <t>Nip. 200005162025042002</t>
  </si>
  <si>
    <t>TPP KK</t>
  </si>
  <si>
    <t>KEPALA BADAN KEPEGAWAIAN DAN</t>
  </si>
  <si>
    <t>PENGEMBANGAN SUMBER DAYA MANUSIA</t>
  </si>
  <si>
    <t>: 197601072003121007</t>
  </si>
  <si>
    <t xml:space="preserve">JUMLAH TPP </t>
  </si>
  <si>
    <t>9 (6+8)</t>
  </si>
  <si>
    <t>10(9*1%)</t>
  </si>
  <si>
    <t>11(9-10)</t>
  </si>
  <si>
    <t>12(11*60%)</t>
  </si>
  <si>
    <t>14(12*13)</t>
  </si>
  <si>
    <t>15(11*40%)</t>
  </si>
  <si>
    <t>18(12+17)</t>
  </si>
  <si>
    <t>19(18*19)</t>
  </si>
  <si>
    <t>20(18-19)</t>
  </si>
  <si>
    <t>: BADAN KEPEGAWAIAN DAN PENGEMBAGAN SUMBER DAYA MANUSIA</t>
  </si>
  <si>
    <t>TABEL PERHITUNGAN TPP BEBAN KERJA (BK)</t>
  </si>
  <si>
    <t>TABEL PERHITUNGAN TPP KONDISI KERJA (KK)</t>
  </si>
  <si>
    <t>TABEL PERHITUNGAN TPP BEBAN KERJA DAN KONDISI KERJA (BK &amp; KK)</t>
  </si>
  <si>
    <t>Penata Muda TK.I/IIIb</t>
  </si>
  <si>
    <t>TABEL PERHITUNGAN KETAATAN JAM KERJA PEGAWAI NEGERI SIPIL</t>
  </si>
  <si>
    <t>BK+KK+BPJS</t>
  </si>
  <si>
    <t>PPH21</t>
  </si>
  <si>
    <t>Sekretaris BKPSDM</t>
  </si>
  <si>
    <t>Pranata Sumber Daya Manusia Aparatur Penyelia</t>
  </si>
  <si>
    <t>Analis Sumber Daya Manusia Aparatur Ahli Pertama</t>
  </si>
  <si>
    <t>Analis Sumber Daya Manusia Aparatur Ahli Muda</t>
  </si>
  <si>
    <t>ANDI HIZBULLAH MASTAR, SKM., M.Kes</t>
  </si>
  <si>
    <t>Pembia/IVa</t>
  </si>
  <si>
    <t xml:space="preserve"> Kepala BKPSDM</t>
  </si>
  <si>
    <t>Nip.197601072003121007</t>
  </si>
  <si>
    <t>Kepala BKPSDM</t>
  </si>
  <si>
    <t>: AGUSTUS 2026</t>
  </si>
  <si>
    <t>Nama Pegawai</t>
  </si>
  <si>
    <t>7604030507720001</t>
  </si>
  <si>
    <t>7604042810810001</t>
  </si>
  <si>
    <t>7604040711740002</t>
  </si>
  <si>
    <t>7604061810860003</t>
  </si>
  <si>
    <t>7604044808740001</t>
  </si>
  <si>
    <t>7604143112760014</t>
  </si>
  <si>
    <t>7604041209690004</t>
  </si>
  <si>
    <t>7604062404680001</t>
  </si>
  <si>
    <t>7604040804830004</t>
  </si>
  <si>
    <t>7604040308860004</t>
  </si>
  <si>
    <t>7604043112690100</t>
  </si>
  <si>
    <t>7371101901690004</t>
  </si>
  <si>
    <t>7604145408800002</t>
  </si>
  <si>
    <t>7604046907840001</t>
  </si>
  <si>
    <t>7604042801800003</t>
  </si>
  <si>
    <t>7604035201780001</t>
  </si>
  <si>
    <t>7604047004810001</t>
  </si>
  <si>
    <t>7604040306820007</t>
  </si>
  <si>
    <t>7602016010820001</t>
  </si>
  <si>
    <t>7604046609790003</t>
  </si>
  <si>
    <t>7604041707800009</t>
  </si>
  <si>
    <t>7604040305780004</t>
  </si>
  <si>
    <t>7604140808890004</t>
  </si>
  <si>
    <t>7604040107840129</t>
  </si>
  <si>
    <t>7604040610800003</t>
  </si>
  <si>
    <t>7604123112850067</t>
  </si>
  <si>
    <t>7604080602860002</t>
  </si>
  <si>
    <t>7604030401850004</t>
  </si>
  <si>
    <t>7604140111850002</t>
  </si>
  <si>
    <t>7604046802920003</t>
  </si>
  <si>
    <t>7604046912800003</t>
  </si>
  <si>
    <t>7604061108830001</t>
  </si>
  <si>
    <t>7604041111850013</t>
  </si>
  <si>
    <t>7309096404900002</t>
  </si>
  <si>
    <t>7604030406930003</t>
  </si>
  <si>
    <t>7603036208840002</t>
  </si>
  <si>
    <t>7604046210860001</t>
  </si>
  <si>
    <t>7604031012840002</t>
  </si>
  <si>
    <t>9106125708800002</t>
  </si>
  <si>
    <t>7604017009010002</t>
  </si>
  <si>
    <t>7604044108990003</t>
  </si>
  <si>
    <t>7371114510990012</t>
  </si>
  <si>
    <t>7315115502990002</t>
  </si>
  <si>
    <t>7307045105990002</t>
  </si>
  <si>
    <t>7305060810920003</t>
  </si>
  <si>
    <t>7602014611980002</t>
  </si>
  <si>
    <t>7316095210980001</t>
  </si>
  <si>
    <t>7602075203990001</t>
  </si>
  <si>
    <t>7601031406980004</t>
  </si>
  <si>
    <t>7604025212000003</t>
  </si>
  <si>
    <t>7604046505990007</t>
  </si>
  <si>
    <t>7315031807950002</t>
  </si>
  <si>
    <t>7605015605000001</t>
  </si>
  <si>
    <t>BK KOTOR+KK KOTOR</t>
  </si>
  <si>
    <t>agus</t>
  </si>
  <si>
    <t>Juli</t>
  </si>
  <si>
    <t>MEI</t>
  </si>
  <si>
    <t>JUNI</t>
  </si>
  <si>
    <t>JULI</t>
  </si>
  <si>
    <t>AGUSTUS</t>
  </si>
  <si>
    <t>Polewali, 28 September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</si>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</sst>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0.0%"/>
    <numFmt numFmtId="166" formatCode="#,##0.00_ ;\-#,##0.00\ "/>
  </numFmts>
  <fonts count="3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i/>
      <sz val="8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1" fontId="4" fillId="0" borderId="0" applyFont="0" applyFill="0" applyBorder="0" applyAlignment="0" applyProtection="0"/>
    <xf numFmtId="0" fontId="4" fillId="0" borderId="0"/>
    <xf numFmtId="0" fontId="8" fillId="0" borderId="0"/>
    <xf numFmtId="0" fontId="1" fillId="0" borderId="0"/>
    <xf numFmtId="43" fontId="4" fillId="0" borderId="0" applyFont="0" applyFill="0" applyBorder="0" applyAlignment="0" applyProtection="0"/>
  </cellStyleXfs>
  <cellXfs count="51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" fontId="6" fillId="0" borderId="1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42" fontId="5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right"/>
    </xf>
    <xf numFmtId="0" fontId="7" fillId="0" borderId="0" xfId="0" applyFont="1" applyFill="1" applyBorder="1" applyAlignment="1">
      <alignment horizontal="left" vertical="center"/>
    </xf>
    <xf numFmtId="42" fontId="5" fillId="0" borderId="0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1" fontId="14" fillId="0" borderId="1" xfId="0" applyNumberFormat="1" applyFont="1" applyBorder="1" applyAlignment="1">
      <alignment vertical="center"/>
    </xf>
    <xf numFmtId="0" fontId="9" fillId="0" borderId="0" xfId="0" applyFont="1"/>
    <xf numFmtId="41" fontId="9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42" fontId="0" fillId="0" borderId="0" xfId="0" applyNumberFormat="1"/>
    <xf numFmtId="164" fontId="13" fillId="0" borderId="0" xfId="0" applyNumberFormat="1" applyFont="1" applyAlignment="1">
      <alignment horizontal="center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42" fontId="7" fillId="0" borderId="0" xfId="0" applyNumberFormat="1" applyFont="1" applyBorder="1" applyAlignment="1">
      <alignment vertical="center"/>
    </xf>
    <xf numFmtId="42" fontId="7" fillId="0" borderId="0" xfId="0" applyNumberFormat="1" applyFont="1" applyBorder="1" applyAlignment="1">
      <alignment horizontal="center" vertical="center"/>
    </xf>
    <xf numFmtId="9" fontId="0" fillId="0" borderId="0" xfId="0" applyNumberFormat="1"/>
    <xf numFmtId="43" fontId="0" fillId="0" borderId="0" xfId="0" applyNumberFormat="1"/>
    <xf numFmtId="166" fontId="0" fillId="0" borderId="0" xfId="0" applyNumberFormat="1"/>
    <xf numFmtId="42" fontId="7" fillId="0" borderId="11" xfId="0" applyNumberFormat="1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2" fontId="7" fillId="0" borderId="14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indent="18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7" fillId="0" borderId="9" xfId="0" applyNumberFormat="1" applyFont="1" applyBorder="1" applyAlignment="1">
      <alignment horizontal="left" vertical="center" wrapText="1"/>
    </xf>
    <xf numFmtId="42" fontId="17" fillId="0" borderId="0" xfId="0" applyNumberFormat="1" applyFont="1"/>
    <xf numFmtId="0" fontId="11" fillId="0" borderId="0" xfId="0" applyFont="1" applyAlignment="1">
      <alignment horizontal="left" indent="13"/>
    </xf>
    <xf numFmtId="0" fontId="0" fillId="0" borderId="0" xfId="0" applyAlignment="1">
      <alignment horizontal="left" indent="6"/>
    </xf>
    <xf numFmtId="0" fontId="18" fillId="0" borderId="0" xfId="0" applyFont="1"/>
    <xf numFmtId="42" fontId="17" fillId="0" borderId="0" xfId="0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2" fontId="5" fillId="0" borderId="0" xfId="0" applyNumberFormat="1" applyFont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3" fontId="15" fillId="0" borderId="0" xfId="0" applyNumberFormat="1" applyFont="1" applyBorder="1" applyAlignment="1">
      <alignment horizontal="center" vertical="center" wrapText="1"/>
    </xf>
    <xf numFmtId="9" fontId="15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0" fontId="7" fillId="0" borderId="9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0" xfId="0" applyFont="1" applyAlignment="1">
      <alignment vertical="center"/>
    </xf>
    <xf numFmtId="49" fontId="7" fillId="0" borderId="7" xfId="0" applyNumberFormat="1" applyFont="1" applyBorder="1" applyAlignment="1">
      <alignment vertical="top"/>
    </xf>
    <xf numFmtId="49" fontId="7" fillId="0" borderId="3" xfId="0" applyNumberFormat="1" applyFont="1" applyBorder="1" applyAlignment="1">
      <alignment vertical="top"/>
    </xf>
    <xf numFmtId="0" fontId="11" fillId="0" borderId="0" xfId="0" applyFont="1" applyAlignment="1"/>
    <xf numFmtId="0" fontId="16" fillId="0" borderId="3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4" fillId="0" borderId="0" xfId="0" applyFo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1" fillId="0" borderId="0" xfId="0" applyFont="1" applyBorder="1"/>
    <xf numFmtId="0" fontId="22" fillId="0" borderId="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vertical="top"/>
    </xf>
    <xf numFmtId="17" fontId="0" fillId="0" borderId="0" xfId="0" applyNumberFormat="1" applyAlignment="1"/>
    <xf numFmtId="0" fontId="17" fillId="0" borderId="0" xfId="0" applyFont="1"/>
    <xf numFmtId="0" fontId="16" fillId="0" borderId="0" xfId="0" applyFont="1" applyAlignment="1"/>
    <xf numFmtId="0" fontId="11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6" fillId="0" borderId="2" xfId="0" applyFont="1" applyBorder="1" applyAlignment="1">
      <alignment horizontal="center" vertical="center"/>
    </xf>
    <xf numFmtId="0" fontId="25" fillId="0" borderId="0" xfId="0" applyFont="1"/>
    <xf numFmtId="0" fontId="6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left" indent="2"/>
    </xf>
    <xf numFmtId="164" fontId="7" fillId="0" borderId="5" xfId="0" applyNumberFormat="1" applyFont="1" applyBorder="1" applyAlignment="1">
      <alignment horizontal="center" vertical="center"/>
    </xf>
    <xf numFmtId="43" fontId="0" fillId="0" borderId="0" xfId="5" applyFont="1"/>
    <xf numFmtId="44" fontId="0" fillId="0" borderId="0" xfId="0" applyNumberFormat="1"/>
    <xf numFmtId="42" fontId="26" fillId="4" borderId="0" xfId="0" applyNumberFormat="1" applyFont="1" applyFill="1" applyAlignment="1">
      <alignment horizontal="center"/>
    </xf>
    <xf numFmtId="42" fontId="26" fillId="4" borderId="0" xfId="0" applyNumberFormat="1" applyFont="1" applyFill="1"/>
    <xf numFmtId="0" fontId="11" fillId="0" borderId="0" xfId="0" applyFont="1" applyAlignment="1">
      <alignment horizontal="left"/>
    </xf>
    <xf numFmtId="42" fontId="0" fillId="4" borderId="0" xfId="0" applyNumberFormat="1" applyFill="1"/>
    <xf numFmtId="43" fontId="17" fillId="0" borderId="0" xfId="5" applyFont="1"/>
    <xf numFmtId="42" fontId="17" fillId="0" borderId="3" xfId="0" applyNumberFormat="1" applyFont="1" applyBorder="1" applyAlignment="1">
      <alignment horizontal="center" vertical="center"/>
    </xf>
    <xf numFmtId="43" fontId="17" fillId="4" borderId="0" xfId="5" applyFont="1" applyFill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1" fontId="0" fillId="0" borderId="0" xfId="0" applyNumberFormat="1"/>
    <xf numFmtId="2" fontId="0" fillId="0" borderId="0" xfId="0" applyNumberFormat="1"/>
    <xf numFmtId="0" fontId="27" fillId="0" borderId="0" xfId="0" applyFont="1"/>
    <xf numFmtId="41" fontId="0" fillId="0" borderId="0" xfId="0" applyNumberFormat="1"/>
    <xf numFmtId="0" fontId="6" fillId="0" borderId="5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42" fontId="7" fillId="0" borderId="0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49" fontId="7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42" fontId="21" fillId="0" borderId="0" xfId="0" applyNumberFormat="1" applyFont="1" applyBorder="1" applyAlignment="1">
      <alignment horizontal="center" vertical="center"/>
    </xf>
    <xf numFmtId="42" fontId="0" fillId="0" borderId="0" xfId="0" applyNumberFormat="1" applyBorder="1"/>
    <xf numFmtId="10" fontId="21" fillId="0" borderId="2" xfId="0" applyNumberFormat="1" applyFont="1" applyBorder="1" applyAlignment="1">
      <alignment horizontal="center" vertical="center"/>
    </xf>
    <xf numFmtId="9" fontId="21" fillId="0" borderId="2" xfId="0" applyNumberFormat="1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2" fontId="7" fillId="0" borderId="0" xfId="0" applyNumberFormat="1" applyFont="1" applyBorder="1" applyAlignment="1">
      <alignment horizontal="center" vertical="center"/>
    </xf>
    <xf numFmtId="42" fontId="7" fillId="0" borderId="3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/>
    </xf>
    <xf numFmtId="0" fontId="28" fillId="0" borderId="0" xfId="0" applyFont="1"/>
    <xf numFmtId="49" fontId="0" fillId="0" borderId="0" xfId="0" applyNumberFormat="1"/>
    <xf numFmtId="0" fontId="29" fillId="0" borderId="0" xfId="0" applyFont="1"/>
    <xf numFmtId="0" fontId="7" fillId="0" borderId="13" xfId="0" applyFont="1" applyBorder="1" applyAlignment="1">
      <alignment horizontal="left" vertical="center"/>
    </xf>
    <xf numFmtId="0" fontId="30" fillId="0" borderId="2" xfId="0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0" fontId="0" fillId="0" borderId="3" xfId="0" applyBorder="1"/>
    <xf numFmtId="0" fontId="15" fillId="0" borderId="3" xfId="0" applyFont="1" applyBorder="1" applyAlignment="1">
      <alignment vertical="top"/>
    </xf>
    <xf numFmtId="42" fontId="5" fillId="0" borderId="3" xfId="0" applyNumberFormat="1" applyFont="1" applyBorder="1" applyAlignment="1">
      <alignment vertical="center"/>
    </xf>
    <xf numFmtId="42" fontId="7" fillId="0" borderId="3" xfId="0" applyNumberFormat="1" applyFont="1" applyBorder="1" applyAlignment="1">
      <alignment vertical="center"/>
    </xf>
    <xf numFmtId="9" fontId="7" fillId="0" borderId="3" xfId="0" applyNumberFormat="1" applyFont="1" applyBorder="1" applyAlignment="1">
      <alignment vertical="center"/>
    </xf>
    <xf numFmtId="0" fontId="0" fillId="0" borderId="2" xfId="0" applyBorder="1"/>
    <xf numFmtId="0" fontId="30" fillId="0" borderId="2" xfId="0" applyFont="1" applyFill="1" applyBorder="1" applyAlignment="1">
      <alignment vertical="center"/>
    </xf>
    <xf numFmtId="49" fontId="30" fillId="0" borderId="3" xfId="0" applyNumberFormat="1" applyFont="1" applyBorder="1" applyAlignment="1">
      <alignment vertical="center"/>
    </xf>
    <xf numFmtId="0" fontId="5" fillId="0" borderId="2" xfId="0" applyFont="1" applyBorder="1"/>
    <xf numFmtId="0" fontId="2" fillId="0" borderId="0" xfId="0" applyFont="1" applyAlignment="1"/>
    <xf numFmtId="49" fontId="7" fillId="0" borderId="0" xfId="0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42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Border="1"/>
    <xf numFmtId="0" fontId="13" fillId="0" borderId="0" xfId="0" applyFont="1" applyFill="1" applyBorder="1"/>
    <xf numFmtId="42" fontId="7" fillId="0" borderId="23" xfId="0" applyNumberFormat="1" applyFont="1" applyBorder="1" applyAlignment="1">
      <alignment horizontal="center" vertical="center"/>
    </xf>
    <xf numFmtId="42" fontId="7" fillId="0" borderId="8" xfId="0" applyNumberFormat="1" applyFont="1" applyBorder="1" applyAlignment="1">
      <alignment horizontal="center" vertical="center"/>
    </xf>
    <xf numFmtId="42" fontId="31" fillId="0" borderId="2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vertical="center"/>
    </xf>
    <xf numFmtId="42" fontId="7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vertical="center"/>
    </xf>
    <xf numFmtId="3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 vertical="center" indent="1"/>
    </xf>
    <xf numFmtId="0" fontId="31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right" vertical="center"/>
    </xf>
    <xf numFmtId="42" fontId="31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vertical="center" wrapText="1"/>
    </xf>
    <xf numFmtId="42" fontId="13" fillId="0" borderId="0" xfId="0" applyNumberFormat="1" applyFont="1"/>
    <xf numFmtId="0" fontId="7" fillId="5" borderId="1" xfId="0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vertical="center"/>
    </xf>
    <xf numFmtId="42" fontId="7" fillId="5" borderId="1" xfId="0" applyNumberFormat="1" applyFont="1" applyFill="1" applyBorder="1" applyAlignment="1">
      <alignment vertical="center"/>
    </xf>
    <xf numFmtId="3" fontId="7" fillId="5" borderId="1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2" fontId="7" fillId="0" borderId="2" xfId="0" applyNumberFormat="1" applyFont="1" applyBorder="1" applyAlignment="1">
      <alignment horizontal="center" vertical="center"/>
    </xf>
    <xf numFmtId="42" fontId="7" fillId="0" borderId="3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16" fillId="0" borderId="13" xfId="0" applyFont="1" applyBorder="1"/>
    <xf numFmtId="0" fontId="5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42" fontId="7" fillId="0" borderId="3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42" fontId="7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Border="1"/>
    <xf numFmtId="0" fontId="33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top"/>
    </xf>
    <xf numFmtId="0" fontId="9" fillId="0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top"/>
    </xf>
    <xf numFmtId="49" fontId="9" fillId="0" borderId="3" xfId="0" applyNumberFormat="1" applyFont="1" applyBorder="1" applyAlignment="1">
      <alignment vertical="top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34" fillId="0" borderId="2" xfId="0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0" borderId="6" xfId="0" applyNumberFormat="1" applyFont="1" applyBorder="1" applyAlignment="1">
      <alignment vertical="center"/>
    </xf>
    <xf numFmtId="0" fontId="34" fillId="0" borderId="2" xfId="0" applyFont="1" applyFill="1" applyBorder="1" applyAlignment="1">
      <alignment vertical="center"/>
    </xf>
    <xf numFmtId="49" fontId="34" fillId="0" borderId="3" xfId="0" applyNumberFormat="1" applyFont="1" applyBorder="1" applyAlignment="1">
      <alignment vertical="center"/>
    </xf>
    <xf numFmtId="0" fontId="9" fillId="0" borderId="3" xfId="0" applyFont="1" applyBorder="1"/>
    <xf numFmtId="0" fontId="7" fillId="0" borderId="0" xfId="0" applyFont="1" applyBorder="1" applyAlignment="1">
      <alignment vertical="center"/>
    </xf>
    <xf numFmtId="0" fontId="7" fillId="0" borderId="0" xfId="0" applyFont="1" applyBorder="1" applyAlignment="1"/>
    <xf numFmtId="0" fontId="16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vertical="top"/>
    </xf>
    <xf numFmtId="0" fontId="7" fillId="0" borderId="23" xfId="0" applyFont="1" applyBorder="1" applyAlignment="1">
      <alignment vertical="center"/>
    </xf>
    <xf numFmtId="0" fontId="7" fillId="0" borderId="23" xfId="0" applyFont="1" applyBorder="1" applyAlignment="1"/>
    <xf numFmtId="0" fontId="7" fillId="0" borderId="6" xfId="0" applyFont="1" applyBorder="1" applyAlignment="1">
      <alignment vertical="top"/>
    </xf>
    <xf numFmtId="0" fontId="9" fillId="0" borderId="6" xfId="0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vertical="top"/>
    </xf>
    <xf numFmtId="49" fontId="9" fillId="0" borderId="8" xfId="0" applyNumberFormat="1" applyFont="1" applyBorder="1" applyAlignment="1">
      <alignment vertical="top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vertical="top"/>
    </xf>
    <xf numFmtId="0" fontId="9" fillId="0" borderId="23" xfId="0" applyFont="1" applyBorder="1" applyAlignment="1"/>
    <xf numFmtId="0" fontId="9" fillId="0" borderId="6" xfId="0" applyFont="1" applyBorder="1" applyAlignment="1">
      <alignment vertical="top"/>
    </xf>
    <xf numFmtId="49" fontId="9" fillId="0" borderId="6" xfId="0" applyNumberFormat="1" applyFont="1" applyBorder="1" applyAlignment="1">
      <alignment vertical="top"/>
    </xf>
    <xf numFmtId="0" fontId="9" fillId="0" borderId="13" xfId="0" applyFont="1" applyBorder="1" applyAlignment="1">
      <alignment horizontal="center" vertical="center"/>
    </xf>
    <xf numFmtId="0" fontId="35" fillId="0" borderId="3" xfId="0" applyFont="1" applyBorder="1" applyAlignment="1">
      <alignment vertical="top"/>
    </xf>
    <xf numFmtId="0" fontId="16" fillId="0" borderId="3" xfId="0" applyFont="1" applyBorder="1"/>
    <xf numFmtId="0" fontId="5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0" fillId="0" borderId="1" xfId="0" applyBorder="1"/>
    <xf numFmtId="0" fontId="9" fillId="0" borderId="2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7" fillId="0" borderId="9" xfId="0" applyNumberFormat="1" applyFont="1" applyBorder="1" applyAlignment="1">
      <alignment horizontal="left" vertical="top" wrapText="1"/>
    </xf>
    <xf numFmtId="49" fontId="7" fillId="0" borderId="3" xfId="0" applyNumberFormat="1" applyFont="1" applyBorder="1" applyAlignment="1">
      <alignment horizontal="left" vertical="top" wrapText="1"/>
    </xf>
    <xf numFmtId="42" fontId="7" fillId="0" borderId="0" xfId="0" applyNumberFormat="1" applyFont="1" applyBorder="1" applyAlignment="1">
      <alignment horizontal="center" vertical="center"/>
    </xf>
    <xf numFmtId="0" fontId="37" fillId="0" borderId="1" xfId="0" applyFont="1" applyBorder="1"/>
    <xf numFmtId="0" fontId="9" fillId="0" borderId="1" xfId="0" applyFont="1" applyBorder="1" applyAlignment="1">
      <alignment wrapText="1"/>
    </xf>
    <xf numFmtId="3" fontId="38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7" fillId="0" borderId="2" xfId="0" applyFont="1" applyBorder="1"/>
    <xf numFmtId="43" fontId="0" fillId="0" borderId="3" xfId="5" applyFont="1" applyBorder="1"/>
    <xf numFmtId="0" fontId="9" fillId="0" borderId="1" xfId="4" quotePrefix="1" applyFont="1" applyBorder="1" applyAlignment="1">
      <alignment vertical="center"/>
    </xf>
    <xf numFmtId="41" fontId="0" fillId="0" borderId="1" xfId="5" applyNumberFormat="1" applyFont="1" applyBorder="1"/>
    <xf numFmtId="49" fontId="9" fillId="0" borderId="1" xfId="4" quotePrefix="1" applyNumberFormat="1" applyFont="1" applyBorder="1"/>
    <xf numFmtId="49" fontId="37" fillId="0" borderId="1" xfId="0" applyNumberFormat="1" applyFont="1" applyBorder="1"/>
    <xf numFmtId="42" fontId="7" fillId="0" borderId="2" xfId="0" applyNumberFormat="1" applyFont="1" applyBorder="1" applyAlignment="1">
      <alignment vertical="center"/>
    </xf>
    <xf numFmtId="0" fontId="30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21" fillId="0" borderId="2" xfId="0" applyFont="1" applyBorder="1" applyAlignment="1">
      <alignment vertical="center" wrapText="1"/>
    </xf>
    <xf numFmtId="42" fontId="5" fillId="0" borderId="0" xfId="0" applyNumberFormat="1" applyFont="1" applyBorder="1"/>
    <xf numFmtId="0" fontId="12" fillId="0" borderId="0" xfId="0" applyFont="1" applyBorder="1" applyAlignment="1">
      <alignment horizontal="left" vertical="center" wrapText="1"/>
    </xf>
    <xf numFmtId="0" fontId="21" fillId="0" borderId="11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9" fontId="21" fillId="0" borderId="2" xfId="0" applyNumberFormat="1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10" fontId="21" fillId="0" borderId="2" xfId="0" applyNumberFormat="1" applyFont="1" applyBorder="1" applyAlignment="1">
      <alignment horizontal="center" vertical="center"/>
    </xf>
    <xf numFmtId="10" fontId="21" fillId="0" borderId="3" xfId="0" applyNumberFormat="1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 wrapText="1"/>
    </xf>
    <xf numFmtId="9" fontId="9" fillId="0" borderId="3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9" xfId="0" applyNumberFormat="1" applyFont="1" applyFill="1" applyBorder="1" applyAlignment="1">
      <alignment horizontal="center" vertical="center" wrapText="1"/>
    </xf>
    <xf numFmtId="9" fontId="9" fillId="6" borderId="13" xfId="0" applyNumberFormat="1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3" fontId="9" fillId="2" borderId="6" xfId="0" applyNumberFormat="1" applyFont="1" applyFill="1" applyBorder="1" applyAlignment="1">
      <alignment horizontal="center" vertical="center" wrapText="1"/>
    </xf>
    <xf numFmtId="9" fontId="9" fillId="6" borderId="2" xfId="0" applyNumberFormat="1" applyFont="1" applyFill="1" applyBorder="1" applyAlignment="1">
      <alignment horizontal="center" vertical="center" wrapText="1"/>
    </xf>
    <xf numFmtId="9" fontId="9" fillId="6" borderId="3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 wrapText="1"/>
    </xf>
    <xf numFmtId="9" fontId="9" fillId="2" borderId="2" xfId="0" applyNumberFormat="1" applyFont="1" applyFill="1" applyBorder="1" applyAlignment="1">
      <alignment horizontal="center" vertical="center" wrapText="1"/>
    </xf>
    <xf numFmtId="9" fontId="9" fillId="2" borderId="3" xfId="0" applyNumberFormat="1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 wrapText="1"/>
    </xf>
    <xf numFmtId="3" fontId="9" fillId="6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3" fontId="9" fillId="0" borderId="7" xfId="0" applyNumberFormat="1" applyFont="1" applyFill="1" applyBorder="1" applyAlignment="1">
      <alignment horizontal="center" vertical="center" wrapText="1"/>
    </xf>
    <xf numFmtId="3" fontId="9" fillId="0" borderId="9" xfId="0" applyNumberFormat="1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3" fontId="9" fillId="0" borderId="2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Fill="1" applyBorder="1" applyAlignment="1">
      <alignment horizontal="center" vertical="center" wrapText="1"/>
    </xf>
    <xf numFmtId="3" fontId="9" fillId="2" borderId="2" xfId="4" applyNumberFormat="1" applyFont="1" applyFill="1" applyBorder="1" applyAlignment="1">
      <alignment horizontal="center" vertical="center" wrapText="1"/>
    </xf>
    <xf numFmtId="3" fontId="9" fillId="2" borderId="3" xfId="4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42" fontId="7" fillId="0" borderId="2" xfId="0" applyNumberFormat="1" applyFont="1" applyBorder="1" applyAlignment="1">
      <alignment horizontal="center" vertical="center"/>
    </xf>
    <xf numFmtId="42" fontId="7" fillId="0" borderId="3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42" fontId="7" fillId="0" borderId="0" xfId="0" applyNumberFormat="1" applyFont="1" applyBorder="1" applyAlignment="1">
      <alignment horizontal="center" vertical="center"/>
    </xf>
    <xf numFmtId="3" fontId="35" fillId="0" borderId="2" xfId="0" applyNumberFormat="1" applyFont="1" applyBorder="1" applyAlignment="1">
      <alignment horizontal="center" vertical="center" wrapText="1"/>
    </xf>
    <xf numFmtId="3" fontId="35" fillId="0" borderId="3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2" fontId="5" fillId="0" borderId="9" xfId="0" applyNumberFormat="1" applyFont="1" applyBorder="1" applyAlignment="1">
      <alignment horizontal="center" vertical="center"/>
    </xf>
    <xf numFmtId="42" fontId="5" fillId="0" borderId="1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42" fontId="7" fillId="0" borderId="6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42" fontId="15" fillId="0" borderId="2" xfId="0" applyNumberFormat="1" applyFont="1" applyBorder="1" applyAlignment="1">
      <alignment horizontal="right" vertical="center" wrapText="1"/>
    </xf>
    <xf numFmtId="42" fontId="15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42" fontId="7" fillId="0" borderId="23" xfId="0" applyNumberFormat="1" applyFont="1" applyBorder="1" applyAlignment="1">
      <alignment horizontal="center" vertical="center"/>
    </xf>
    <xf numFmtId="44" fontId="15" fillId="2" borderId="2" xfId="0" applyNumberFormat="1" applyFont="1" applyFill="1" applyBorder="1" applyAlignment="1">
      <alignment horizontal="center" vertical="center" wrapText="1"/>
    </xf>
    <xf numFmtId="44" fontId="15" fillId="2" borderId="3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44" fontId="15" fillId="2" borderId="2" xfId="4" applyNumberFormat="1" applyFont="1" applyFill="1" applyBorder="1" applyAlignment="1">
      <alignment horizontal="center" vertical="center" wrapText="1"/>
    </xf>
    <xf numFmtId="44" fontId="15" fillId="2" borderId="3" xfId="4" applyNumberFormat="1" applyFont="1" applyFill="1" applyBorder="1" applyAlignment="1">
      <alignment horizontal="center" vertical="center" wrapText="1"/>
    </xf>
    <xf numFmtId="44" fontId="15" fillId="0" borderId="2" xfId="0" applyNumberFormat="1" applyFont="1" applyBorder="1" applyAlignment="1">
      <alignment horizontal="center" vertical="center" wrapText="1"/>
    </xf>
    <xf numFmtId="44" fontId="15" fillId="0" borderId="3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2" fontId="21" fillId="0" borderId="2" xfId="0" applyNumberFormat="1" applyFont="1" applyBorder="1" applyAlignment="1">
      <alignment horizontal="center" vertical="center"/>
    </xf>
    <xf numFmtId="42" fontId="21" fillId="0" borderId="3" xfId="0" applyNumberFormat="1" applyFont="1" applyBorder="1" applyAlignment="1">
      <alignment horizontal="center" vertical="center"/>
    </xf>
    <xf numFmtId="49" fontId="21" fillId="0" borderId="2" xfId="0" applyNumberFormat="1" applyFont="1" applyFill="1" applyBorder="1" applyAlignment="1">
      <alignment horizontal="center" vertical="center"/>
    </xf>
    <xf numFmtId="49" fontId="21" fillId="0" borderId="3" xfId="0" applyNumberFormat="1" applyFont="1" applyFill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21" fillId="0" borderId="9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49" fontId="21" fillId="0" borderId="8" xfId="0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49" fontId="21" fillId="0" borderId="2" xfId="3" applyNumberFormat="1" applyFont="1" applyBorder="1" applyAlignment="1">
      <alignment horizontal="center" vertical="center"/>
    </xf>
    <xf numFmtId="49" fontId="21" fillId="0" borderId="3" xfId="3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left" vertical="center"/>
    </xf>
    <xf numFmtId="49" fontId="21" fillId="0" borderId="9" xfId="0" applyNumberFormat="1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49" fontId="21" fillId="0" borderId="2" xfId="3" applyNumberFormat="1" applyFont="1" applyBorder="1" applyAlignment="1">
      <alignment horizontal="center"/>
    </xf>
    <xf numFmtId="49" fontId="21" fillId="0" borderId="3" xfId="3" applyNumberFormat="1" applyFont="1" applyBorder="1" applyAlignment="1">
      <alignment horizontal="center"/>
    </xf>
    <xf numFmtId="49" fontId="21" fillId="2" borderId="2" xfId="3" applyNumberFormat="1" applyFont="1" applyFill="1" applyBorder="1" applyAlignment="1">
      <alignment horizontal="center" vertical="center"/>
    </xf>
    <xf numFmtId="49" fontId="21" fillId="2" borderId="3" xfId="3" applyNumberFormat="1" applyFont="1" applyFill="1" applyBorder="1" applyAlignment="1">
      <alignment horizontal="center" vertical="center"/>
    </xf>
    <xf numFmtId="42" fontId="17" fillId="0" borderId="2" xfId="0" applyNumberFormat="1" applyFont="1" applyBorder="1" applyAlignment="1">
      <alignment horizontal="center" vertical="center"/>
    </xf>
    <xf numFmtId="42" fontId="17" fillId="0" borderId="3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32" fillId="0" borderId="0" xfId="0" applyFont="1" applyFill="1" applyBorder="1" applyAlignment="1">
      <alignment horizontal="center" vertical="center" wrapText="1"/>
    </xf>
  </cellXfs>
  <cellStyles count="6">
    <cellStyle name="Comma" xfId="5" builtinId="3"/>
    <cellStyle name="Comma [0]" xfId="1" builtinId="6"/>
    <cellStyle name="Normal" xfId="0" builtinId="0"/>
    <cellStyle name="Normal 2" xfId="3" xr:uid="{00000000-0005-0000-0000-000003000000}"/>
    <cellStyle name="Normal 2 2" xfId="4" xr:uid="{00000000-0005-0000-0000-000004000000}"/>
    <cellStyle name="Normal 3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579284" y="31760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636434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512734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B66C6C5-35BF-4B48-A567-25567D1C38CF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6EF32A7-0046-464E-A655-9448F4239177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B1D6275-1BF7-4EDC-BE28-F7B9EDD73EC0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CAF83A2-096E-4AA3-A2E6-B500A056F759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5FF86EA-B183-466C-8EF0-718B1D59901A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4D8D330-6FAB-425D-A9C7-626535B8D715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A1860ED-64BE-41C1-9F34-69908DA25E59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606C791-7C63-4E5A-BE59-0EB39EB4D6DE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37CD5EB-C86A-4EBE-812D-AC7D426FE632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B4D3855-7709-43B2-95C4-D215197B74DD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2968BF-0796-4BA9-A2C2-C210843A0916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3B7BE7F-762D-4E3D-9A14-40254810681C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DB54895-068B-48A6-9229-3EC796F4EF9C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EF4875E-0CB0-4A2C-BCD1-670C3E3EE778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1BC19B-9A20-454B-B4BF-6A515FF7EFDA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E4D283B-53C8-4825-84B4-46AAE8BE0F7B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7FB1880-7CFB-4E4E-B540-27A720F92B07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7F51D35-89A4-4692-A3A2-FD53CC1CFA6A}"/>
            </a:ext>
          </a:extLst>
        </xdr:cNvPr>
        <xdr:cNvSpPr txBox="1"/>
      </xdr:nvSpPr>
      <xdr:spPr>
        <a:xfrm>
          <a:off x="4387548" y="23925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97A18CF-ECE6-43A2-9B99-0293B5F6E7B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EE17B2-DEB2-4667-94BD-0C5054A01931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218D31B-F94C-48F4-AF82-F9BACE5CAFB5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4381450-6662-48B3-9C03-C545C35E9B9F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6036137-5C0A-4FEE-8352-9CC7F071E666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66FFC73-E046-4C67-ADBC-FBA0D0A6313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E40FF9F-A135-48DA-A1BD-86B60B836047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468FAF7-D9C5-458E-8E86-C3C05D945246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8F70949-78B1-4CC5-8141-7F316C63A934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8F42535-2CBA-4A22-80C0-8F1B6168061C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A6660D5-21F7-43B4-963D-EBDB2DD5AE98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87094B-BFAA-4BF6-991D-8DC9FE920BDB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509462F-65A3-41C6-BBA6-0A5920E3E150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FE3BE8-E2D5-4F38-8259-7F18E7E4DDD0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7421CF9-A1A8-44D5-9481-9CFF4057A6DA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60A72C8-9655-450A-80CF-C88B77D377E9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8381B4B-529E-486B-B46F-4E9FEE188AA5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56726C4-C07A-4A5F-98E2-D9532C542551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DEF7313-56E9-4DEF-9966-ACB9633151C6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7F267D2-E605-45A2-966B-4FBF8D2D8B7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8406AEE-7546-4BD4-90B0-45C86AD363F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08F4F69-BFE5-4ACE-A0E3-B0B4BFFECD3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E34060B-D495-424B-BF9C-99C0CF65E10B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645F329-8621-4057-B7EF-8A0E5D4C193F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2112C88-9293-44FE-83B6-693E8A5A0C1D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C50F68-A089-4D24-9EA1-505BD8FAFB65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F65B374-DFB9-4CB6-AA58-E53DB542605B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C9A078C-FAD2-412B-BFB4-46FAFFAB927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0194D64-8F77-4E6F-8CCE-8FE702BF09C6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E0E0837-CA4D-41E1-A025-C9AF87AC6FC6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BC22F8F-34F6-4637-9F67-18B8216805E9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261392B-DC31-4B2B-9DA8-36750AC2CB9E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3A99FD8-64DD-42DE-BCC8-ED95BA5EB63E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14DE57B-3060-492F-B111-BEF34FD2A4D1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A32D6C9-C1E9-40EE-8AE6-0AAD9C19A510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AA1FBD-267F-48B4-A1B6-1DFF13472AE0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52CE2ED-14E4-495A-9865-2D50659CFAB6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E1244FF-F581-4969-B29F-E7AFEDAC1190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2DE7B62-D93E-4E9D-ABBC-4225932D1073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03143A9-3742-440B-9265-C569A93E3D3C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2E4A61A-D3C2-4482-B3E7-7E6E4C1E7F75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C5DFBDB-692F-496C-9E34-061FA955D2D5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42B6B16-325E-4A51-9795-B4ABC5BC7BB0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8C5E058-92AE-4A82-9AE2-8CCBCC652F18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48D167-4546-4F65-B885-F1175F97DEEB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BD5F56A-AD98-49CF-8649-031059721674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6012D5F-CC80-4608-9D2F-262649BBEB44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D16ED01-B9CE-431D-AA4C-50B515880D1D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BBF15E2-53BC-4C04-86B6-FEC4C8CF97B9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DCEAD38-A7D3-4F5B-9488-4220F12860DE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7BA8BB0-C92D-4A7F-BD9F-40B6B0AB54B8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9B07380-B685-4F65-873E-1285BEA125FF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2AFB2E-8802-4232-8B33-E4AC73271FC4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444BAB4-0D3A-46B7-BB09-89659FBAB466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92CE9B5-8E3A-44AD-855B-A956132AC4A9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B07E8F8-2918-4FD2-A873-5B0A9B611AEE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F161B34-78EC-472A-9E23-81FF9AA8BB81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F377B7D-64B5-46DC-9789-A42E1C8FFEB3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12CF317-D4BC-4143-905A-5A73FAD023EC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C2C9F77-1698-4E8A-9494-A62E85BA2CCB}"/>
            </a:ext>
          </a:extLst>
        </xdr:cNvPr>
        <xdr:cNvSpPr txBox="1"/>
      </xdr:nvSpPr>
      <xdr:spPr>
        <a:xfrm>
          <a:off x="4400439" y="2777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912659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2659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912659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912659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912659" y="313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C64991-E3A3-42DD-90AA-757AAF085E51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2B3DE6-C4F7-4EA7-BF27-A79FCD8567BF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638148-8B39-4DA1-9F6D-5BD9D7940E16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E197C2-4AD3-4D7A-9B06-536685EB35BC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21C39A-493D-4E60-8B4B-C8236C33C358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16033-FD09-4DC2-ACFB-179260D9BA76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7C7EB2C-BA07-4F10-ABCF-55D9E50CA70B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522A06-38B1-4864-BBBF-3B6A2E8EFC3C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EE87D20-D9F2-43BD-A168-DACED2125B52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F1A8CBE-CC3A-495C-B8E3-5424E907E602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11C066-1A42-4154-AD98-8EA33C7F84F3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338D1E4-1DEA-4914-9829-744EED575B46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38512E5-6A76-451E-B1EC-6FE436803B0F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BE8984-8114-44A7-8F5F-F23AFD14434F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58C7C3B-564F-4C86-AB15-AA171768B497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404C40B-DD1C-4DC0-87C5-8E04267D4BFC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1A7045D-4BFA-4D68-80B9-C288DA3A125C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365F3A4-F5D7-4E89-837E-3B0FCEEC0ABC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3EC3D0C-3F2D-4FF4-BD76-2DE22818A366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771906-47E0-476F-9A74-3A41F6CD35E3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601A93-0B89-4FE6-9F22-FFD425911B17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8C4AA8-78B4-463C-8693-E7AF3C273332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B7221A9-F634-46B8-AF1A-11E5AAFA4541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8F8B65B-3454-46A1-A710-1D3EBC551AA9}"/>
            </a:ext>
          </a:extLst>
        </xdr:cNvPr>
        <xdr:cNvSpPr txBox="1"/>
      </xdr:nvSpPr>
      <xdr:spPr>
        <a:xfrm>
          <a:off x="4274609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9BAC998-2E72-4901-867E-C17C02E98067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4DA1622-D8BA-4E74-96DA-334E7AE570E9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300413-4B76-444B-8B77-671224417A01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1A34D19-BBC2-4A98-B360-EADB735B7F0E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DB6677-4543-4FA3-B7FC-96D02C52FDB2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0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C78EAB5-E36D-4A41-A8F1-A15AA279CCE6}"/>
            </a:ext>
          </a:extLst>
        </xdr:cNvPr>
        <xdr:cNvSpPr txBox="1"/>
      </xdr:nvSpPr>
      <xdr:spPr>
        <a:xfrm>
          <a:off x="4274609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0284E7B-7E80-47E9-A711-D6D3CA014956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330B1AB-0BE6-4997-AE5F-5D7DB98F3EED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1A1622-25D4-48D1-82D9-E7DC738B553B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49C81A2-0749-49F4-9D79-5392FE65055B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8A30F1D-26F0-4DDE-AC91-583647E3F19B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C43D70D-9E29-4E66-B896-714F6C8221A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25171B0-A352-4588-A7A1-1BE3DCE8E1C0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A918DFF-1EAB-4600-B75F-409ACDA0E684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4217805-22C8-46EB-AF18-60C1915B311E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9F9D9A0-110D-45F1-9B4E-27A6EB972D7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78D5366-F11D-4C4C-BC2A-0C5BC02A648A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222A291-A804-4457-A09F-A61DAE3328F0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4532C5D-F4EA-404C-8E93-52A73BDBB856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C6C0604-218F-44D6-8C08-5D826D3C1313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B0D5974-73A3-4423-8BFE-FDEA0FF654B3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59898AB-4C29-4592-8F80-6FB03DEBDA73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F95BACC-7952-47FF-9654-DC032393E287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2220DB7-BF63-4C79-BFD9-A77AA38B848F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F5E842F-7D30-4F2C-824E-ACF2B81A4EE7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5764C6D-5E94-4A18-99FF-59FD38DECC53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1FAC92D-DF4E-4171-8F4C-B565D4E3104A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64D2A62-06DC-415E-9975-708CF563594F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1F1D83E-C07D-4E38-8038-F1AE7C8A1439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0662B97-0668-4237-90E5-34D27032311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12B45D5-FE0D-46C2-BA58-59EF7D15027D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DA0618D-EE02-4D10-9B21-6D0737EAC04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805AFA3-BEE7-4D04-A6BE-30050BC997C6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12AC611-4C8E-4B74-825F-24E4C9F768A2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6A8E412-2AD6-4314-9FD0-26CB21F3F06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50E75B4-C04C-41D5-A482-2422BFAF41B6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010C03E-68EC-4A5B-85C9-5564E473884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49BEF74-0D41-4FCB-B815-C6C9B01589D4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C8353F4-ACCE-4A52-934B-99851E6E2975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2E07383-AAEE-4B0A-818B-C9C0B3965ED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14F87F7-AA18-413A-BF30-321AB1F86FE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FA40A67-1270-431C-B593-F78668C0BDB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30971E4-BAF8-43AA-ACD9-9F1F4B29E89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7EABA26-993E-4580-93EB-E494FC76888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08A16CD-ACBD-4A2A-9C56-ECAE91137AF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C0C6CF3-EE32-4C5C-BC28-724C081B22B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0225410-C7E6-4D95-B53A-111F404B3EB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AA9B25C-E96B-464E-842E-574EC1DDBE7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EC9053A-F030-4A2C-A7A1-AFD54DD4D41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7B02C11-34C1-44AE-BC0B-EBE1BED577F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62F2B45-D83D-4214-9DF0-280229F852A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368842F-1DD8-4F68-874E-6830A0DAE53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5FB9A62-91B5-4E1B-A027-6F0AE5D4DEA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3374329-7E0B-4D67-AA7F-8FEF75A1374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64CC5F8-A46A-4BCC-8C3E-307D4965C38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691ADEC-502B-465F-BC3A-E3C0A5CF43C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2882CD1-7B77-4F4B-B613-E3E0EA7D37E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4F017B3-C1C2-43F0-9051-27F5FF5AEAE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C5B71AF-C273-45C4-AF17-D88569FD81D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C4B28E4-A5F5-402D-874D-C414A8BDB29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315A1D6-F03F-4FEB-A73F-FA0F1D4660A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1B14B06-0577-4518-8957-F34724D6FD6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4789709-7C1A-4DB3-A15A-CED8AE49E15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633832D-BB03-40AE-878B-366C26A3BB1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74FD9CF-D93E-4A05-A61F-9AA07F34DF9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F9CD50F-6593-4DF4-A29E-8023B201BDD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CE475E-5A8B-4F2D-BC36-EB146BE1801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8294130-AB00-4A5D-9535-BB6E6C54BE9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CB5783D-9011-478B-BEC5-C79D3E83691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E150072-7EDF-4968-9B93-8414F43A76B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1A18FE6-E5E5-4917-8445-6B22EAD02E2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8F04BB8-14B9-433F-A6AA-8F1EE93F22F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A1D2C5DB-1E79-4A3E-872D-EC51708061A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B8721F5-ACDC-407E-9C5F-FA39E53326E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BB81BB3-678F-4B53-806E-34F9D390752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8B5941-E139-4F22-8EBB-7045ABC2F08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CBCEF13-12ED-4501-8FC6-AD4DC6BBCA7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37201DB-AEAD-4949-9275-A1DBBFED1D2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C3521E0-F3AF-4E9E-89A7-10F71C97C55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4EAE11C-F5F1-4837-91DD-0F69B915500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AFA1E71-9E4D-4613-B45B-D7EBB71419F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28F6117-008B-4018-A978-168978BCDB4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4A10F1E-723A-4A0D-99E7-94B4FFCEF6E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C81120EB-E62C-4902-AB05-B66510E5A45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76C4152-C0F9-4415-9D31-79AAF1C7ADA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224FBE8-4E22-4299-8467-12D6DBB6E33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F2BABA7-3F0D-44EE-A89C-1F3ACBA859C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4B439B4-AE00-4DB8-9980-6A42CB4A53D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4D7C56B-B737-4416-8CC3-56C75079C5A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985D385-765D-43F8-A138-0F1C78B07D1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1BB0E80-09AA-479A-B001-739B3D6932E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22E9614-0360-46DA-8C28-EC2D4FE843D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884AD68-6C35-4B60-A7A6-2DA8662D5A6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D93A07E-EEA9-4688-A345-B1CEA470A2B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E31AD1E-D028-4644-B4F5-DED496F88EA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3E871C-4FA1-4F37-80C1-BE1B1FA8E3A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FC8ED97-4E69-4893-80D8-085262317CD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1A62BB6-D536-4798-BD17-17717DC73E1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3BB6091-AF8F-4183-8DD8-79135373C79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C423BCD-F346-4FA2-BDEE-058E8226798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8109501-6861-4777-B294-22853613831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2416AC7-2C90-4F97-962D-5BCCBD12AC8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9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B37F30D-2E7D-410E-96BD-8D765B35D02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577167" y="31855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331634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331634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331634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331634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331634" y="22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4388909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2DF6221-477A-4CA8-8B23-888E12A77CEA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77F4585-838E-466E-87EA-20E9A6329CE9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C49679A-C36A-49B1-9E08-BD3849769CFA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DEC3DF-3FF9-4E76-A454-AFE261D126CF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1AF87C5-13BF-4009-B5F9-46793622F4B0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DFBCF43-5349-4F85-9B2B-467337D661EE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5373CAC-57DA-4EB3-BD60-4D2B27A27121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755F574-54ED-43FD-B2E6-6DAD53A06052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C403BDC-E2FD-4133-B3E3-1B1E9E72892F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A294AFE-D3CB-4A7A-817F-721F16A6B17D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39CC988-8E19-4CE8-921E-2DF09BE7EFED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37D0717-7B7A-4C0B-ABCA-BCBA9216CA08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A511EAE-5B9D-4AA4-B742-8B0F47A7A7D3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FF77CA4-6A8A-414F-BF27-1FFF4BF20E01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73D21B-BE85-4ECA-ACC0-9E2689DA930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44667C-A569-4964-91CE-973EBD3D65D1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5347289-5CEA-419B-A198-77D30CF94602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BFFCBFF-E21E-4FFF-8E11-68314B74709C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951B0DE-953E-41EC-9272-8241A7D3261C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522CFF2-6E51-4F9F-81A3-0DEF53F9A4C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2421DF7-FDA6-42B2-91F3-ABA7EA165FA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4AABA3-4352-4325-90F2-DA629DF8C63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C73E3D2-E743-422E-A31D-A5A121EBE97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70CB3C6-AE69-426D-BB3F-5C329519BBF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704410F-C226-40CA-A0D3-3A1F7EBB263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FADDBF0-497D-4D94-8F1F-250D51362F9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3C38BF-5EE1-4D9D-A1E8-A2C184AAC56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DF198F0-A84A-4883-A1FD-B2878A11E1E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FA350EB-6474-42D7-A573-3C83E37B54B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C28AB8B-FACA-46CD-AE63-B944FC1500A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4F45119-F1B3-40BD-956A-8E6F246D215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5EDAC88-3585-4C68-9756-54C52814E44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E0E0A0D-EF22-4184-B17B-2D2D25C5940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B3FDB94-5A21-41FA-B30C-918421D9BF9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A9BBACE-B50A-4348-9D52-87DFC13DAF3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A49E27B-9B4E-4748-ADF4-C37A0EA31CD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41DB03B-0079-4915-B83C-8A4289BAC30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99BE1F4-E174-43DB-BE0B-02DC950C6BC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DFC1663-79A1-45C8-9FCF-257D7FEBE16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A5045AF-9746-4BBD-A09E-DF2C09DDF86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8A1D83C-7C01-4D51-849A-1DBEA1FAFA0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DBAA91A-6CF7-4C5E-8ADC-31700A93B9B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6A053F2-ADD8-4112-8D97-56455A96A0A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702ACF4-3B42-4497-AEA9-B42E37DBB8D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21E0DE8-1E71-4F82-8B2F-F17A5B62646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722D67A-58D4-4BD3-A6F2-591A70A2CF6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B57B677-E3E9-413E-9AFF-63664EE0CFB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4B380A7-962D-479A-BAC5-3B52AD2592D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DD2C160-5855-4A47-BD28-114DF67A312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58A0900-97AE-4649-A20C-2D4857CB528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C52AD13-DCCD-4F6F-B1C9-7719177FD4D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9B18984-0163-4C82-B76C-2BE2A98AE1D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46CEF4F-8D61-4735-B596-6B68EC936E1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28763FE-9B12-49B5-B847-975F8ED7D9D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CDEC747-EF0E-418D-AC00-2421A3D2AB3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A5A88F7-2B1B-4965-9467-DEB045A14B0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9F656AE-D3FE-400B-938B-AE99C5B1F25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6219667-8943-4906-9857-BC29BF4F3F1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B200887-C75B-4C04-BC80-2D34F5F1F7F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18E6334-5215-4146-8B27-75696D368F9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DEB2BE0-804A-4DCC-A646-E55DE3B7E8F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10F8C82-EB40-4D51-A05A-E00FF502828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90761F1-51EB-492B-91B3-D4A670C3EA6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E93FC7E-BAF3-42A4-9C75-B1294442801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E6260BD-26AC-4E63-B83A-3A1CB713885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F48887D-8F3F-44AF-B3F6-2DA9AB1E929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868618A-5D65-4527-A338-D0949B8D821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07C34CF-CE21-49C5-A8F5-0ADFBBBC723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86CBEB8-AB14-4ADF-B750-DE01EC86C54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08D04B9-2FD0-443A-B573-1686C181F5C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5803E2C-3376-4E42-97AB-9E03AAFA49F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B7E8F29-976C-4490-8E9E-63781DD1912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B0E018C-C8F2-49B6-ADDE-A615E59DAD2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85D9F49-BD7C-4D12-9799-5908E71882F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BFE6704-F64B-4284-B8ED-FA3FE422C55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75BD0D8-B0A6-4F0F-A04C-B8B7D5D2907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007C21A-6366-4CEB-8349-0277F0B6DCD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90B741F-CB32-41EC-B998-34F32313E26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4A0C7E3-68CA-410F-A63C-57D1E6B36CB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AFE365E-B0ED-4959-AF17-B5390C40B0F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074429B-0B78-41F0-B7B5-9F52CAA0A0F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4D3E13A-9FC2-4670-8538-1B418DC6737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9D4D67E-2A45-4F9C-8819-4108A0869B7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DFD3B2-1602-4A05-8D08-35D82AA16534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86E29B-0646-4298-B04B-A778802F6E09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2CA609-56EA-42F4-9B8C-5F3872229075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F71997-A84B-45DA-9F60-8392D9660A60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4C5867-54FE-4E9C-9E28-4EEC7C6CD38B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C55729-A497-43FD-BBD2-863E3F2BCDB8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1814EB-A933-4C49-BF88-9BC085B241F2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CBE481-41BB-4FF8-B5D3-0FA0070793CB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E3BB34-E1DA-4124-8A27-59726DCDF0C2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55B5DC-93D4-418F-8EF1-46B0E7DBF2AC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306A32-71B3-45EA-ADCC-8F9F91DB00C0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F565B7-0F31-4CE0-A483-4BDAF2DC9748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5873B5-F0D6-41BB-945B-056385DE9671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B7F1877-FB57-4874-B016-521F06CB0F25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55A38AF-BE8B-4E18-AFE5-66E660D3D43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900637E-01AD-4880-82F9-DF3C8DDC5F9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664B188-B44F-4972-8696-0438736EF26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FD4FC79-2A9F-4DBA-A5D2-9623483804D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788197E-D381-49F2-BCAE-7B52DE01EFB4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2D847CD-E909-4814-BF78-D72A554B67A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61A723-2A19-42C1-B8A1-E62DB61FC97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70F7064-23F8-48B9-9BAC-3FBCC313972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372C2F-8DF9-4545-9013-2A330CFE088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C186FE0-1069-4515-83FF-569E235AFFB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ACC44AB-93B7-4925-97C5-A7A54D6B2091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4945A04-2534-40D0-A392-DA0ABDB115E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498A8FC-6A84-4A8D-9F76-094F70396F2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620F14A-0E70-4B0B-B5D3-FE052CA81D0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99DBDB8-17E5-4748-9770-DD780712C8D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6998528-D291-46B2-8A5A-29C05852203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A4E514B-C9C5-435A-A41F-00523EEDD1E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3D093D5-4323-48A9-9541-B227D0D0BF0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353DE9D-7449-4FFF-BFBB-A8084B4D592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1FC74B5-BDE9-47D2-8A72-8A0DCD2A3F5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3B46930-4F0C-4DE2-B0D5-66E29BD2CD4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B24C949-2F6A-4A38-979F-47F50137617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CF8547-A5BE-4C8F-BC59-44C79401597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44B8F2A-B203-406B-AD63-181F8347C07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550EEC-B297-4FF0-9491-A5DE1AC7671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FC5A1B2-2A83-4E02-AF24-DB3AA56EE51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B9DB2A7-6FC5-40A8-9AB6-B117D46D4F9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72AE4D-2168-4303-A078-C2A1925B7C4D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B5A2A2E-D292-4BBF-842C-180D52CFD21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515E506-DB92-42C7-94C5-C1EE4E5728F8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87E7E98-044F-4B01-8D10-B7B31104348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B7B0F7-F117-4F92-A9FF-8DB5C4ACD67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21BD992-1D82-4E61-B5B2-63969820A57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D7409F5-B44F-4F8A-8FD8-92BE1F0A552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AA47780-5D62-4217-80D9-3FB9D30C509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E805984-C82E-481D-89A3-25371D7AC2F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478D95C-0CE8-41B2-A8A9-D10CC2BD47D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9CF89B9-94D9-4BA4-BD34-36053DDAA3B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EBEF55F-B7D1-445A-A537-4771FC25103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56D123A-DFE2-4F6B-87AF-F77D9D97B99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27C5175-FE31-4F78-B979-098EB5F38B6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7DEAC17-9D2B-4F63-8A24-8DF457FCA1C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DEBF64D-BDB7-45ED-AA6A-87326C4BFD8A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9953E3A-C4F0-4BA8-A608-6138565CDE5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D885CB1-40E1-4AD2-8E42-D585C2B54AA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BE61A55-E153-4716-9B85-26F3AE8E5D8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32FEF9B-654A-42F5-A9F4-213BE8D6FCC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EA21649-D1C2-44E0-97B6-D8C5C414B099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D1847BC-91B9-4B74-B5CE-AF2AD1E95B25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6B91DC7-5281-43F1-BC0F-4F1A0092E77F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C45CC6A-3B95-46B2-8898-A7C127FDEE4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3B20E78-B823-4540-BFE7-F66466E7BD5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AA724B6-AF9F-4133-9DC0-EBDEC414C8F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05FC1D2-FF94-4A18-96EB-CC935BE0E77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B070B78-459D-4B69-8B63-42EB1E494460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334EB4F-2170-4835-B19C-8A644D2311D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A6A0940-E1F6-46EA-B837-976B34DBE8B7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758195D-4991-4174-8798-052C3A8EE08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29B9A67-ABAE-48ED-A309-8ADC3C0238E6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2182B2B-5122-46BA-8A84-310524CE318B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4006EA8-2DC5-48EB-9A4A-8664A77867C2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45BA605-5C32-44AF-980C-380A0ADC10DC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7152862-1C27-4A2B-8055-5C96669CD1FE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B4BDA47-A69A-4D1B-8B99-762AF86CA583}"/>
            </a:ext>
          </a:extLst>
        </xdr:cNvPr>
        <xdr:cNvSpPr txBox="1"/>
      </xdr:nvSpPr>
      <xdr:spPr>
        <a:xfrm>
          <a:off x="439843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95D0CE-D371-4CBC-B6C4-424969C066E3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F6D14C-E4D0-44B3-ADA9-AFE12BE4DB5C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FAB839-7568-4D7E-900C-258D615A15C0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07392C-5A16-4293-8194-577714114109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9D60F5-6DE9-4FB9-A882-65812C14A275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B4BF85-7CDA-4346-B51F-C0A895B6E85C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C0B2E0-D73A-4A89-846A-9A31016AA646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8D76669-C7BA-48EB-A977-F8AD31600029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D25BF1-B1F0-4A88-9997-59C2625D27A5}"/>
            </a:ext>
          </a:extLst>
        </xdr:cNvPr>
        <xdr:cNvSpPr txBox="1"/>
      </xdr:nvSpPr>
      <xdr:spPr>
        <a:xfrm>
          <a:off x="40650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8EABBA-A843-416A-B0DD-B4770F9E53F5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6589596-8E5C-4B1C-A053-874BC4E7CDF5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7536445-FE10-4A55-A887-D8BB32354C3B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561339-DA12-4B82-BCBC-FADE5FE87B7F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CE21A66-FE1E-4EDC-8B66-6BCB8E21B029}"/>
            </a:ext>
          </a:extLst>
        </xdr:cNvPr>
        <xdr:cNvSpPr txBox="1"/>
      </xdr:nvSpPr>
      <xdr:spPr>
        <a:xfrm>
          <a:off x="4236509" y="174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DE9D897-C256-4FE2-A360-E9E4472F5F0F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05F75F-EADA-4ACF-BBBC-F323495A7F5A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2754C2D-2B16-405A-9459-3361A04B6774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0EED12-6A92-4D4A-9E4A-9ACFBDB3D960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ACDC39B-49E5-4FE6-BD63-E56A374B79E4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AE19681-930A-4BD1-9414-5B909248374B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79E9A74-A596-41EB-B66A-FC186F2FD735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6CD9370-E3B4-491A-9D62-204596EAB42A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A435E77-E186-4931-B255-FBE7D06C8627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B1BCB52-B1D6-4249-9A2E-29781B2A8E07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F6F3314-3C42-4AA5-9619-91C5B4864A01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973D948-2F60-44F0-B0F8-004DA9A73778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0434C44-7BCC-4308-B8E0-A188913F743E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F994A42-71A0-4333-9540-2FF2D84AA616}"/>
            </a:ext>
          </a:extLst>
        </xdr:cNvPr>
        <xdr:cNvSpPr txBox="1"/>
      </xdr:nvSpPr>
      <xdr:spPr>
        <a:xfrm>
          <a:off x="374120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2F8FA63-666E-48BF-ABAE-62D533E8A974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CA3DAD2-F6E0-40CE-A39A-DDE961BA0302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B07DB5C-B30F-4C32-A9A4-46562B2D870A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27D1D76-290F-4AE2-AD0F-116EA645343E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E6C23E5-2407-4DDA-B7B6-2126AFAA0F2E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8E705AE-3907-41D5-8FBC-714B4A584172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FCE3156-CB9E-4A4D-9707-102AD0BCDEEC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FBF4F4C-B498-4CAE-8AA6-D10EA9444FC8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5CDD2AD-FD3A-4600-869D-38C169DF7CB4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9FEB765-F3DE-44D9-B3D0-6EC9788CFB6B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90DA2EF-F047-4D5F-A421-C235FD9BE34E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FE9361C-E1DC-43D3-92E1-C05C70E4CBA4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AC5D530-9B41-45D7-927C-CD2BD14B4511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C5A880-5B41-4BAF-8CC6-C79447AD4708}"/>
            </a:ext>
          </a:extLst>
        </xdr:cNvPr>
        <xdr:cNvSpPr txBox="1"/>
      </xdr:nvSpPr>
      <xdr:spPr>
        <a:xfrm>
          <a:off x="374120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B4920E7-A002-4172-8503-EF72E8DE4E0D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91407AE-E1E2-452B-AF08-3F68ACE38D2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1723A43-07EC-4A2E-856A-2E12FA046556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F4AB557-5F90-40DB-BFD8-C0E82E771AA5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BED859F-DB1C-4C04-A63E-86EF6EDCE30D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5E0D1F8-3D38-4BBB-946F-1FDDACD2FE0A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D1BB5C3-4114-4134-A80E-DF0C29F76F59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8E131E2-6C27-4A58-84FC-AB580ABA93A5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EABE1BA-A449-4ED3-84B6-8BB2EB87E505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DB8BBA2-F97E-4361-B208-E571CE6A8A01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1B68689-C7C6-41C5-86F9-467C0E0B5877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D3E48AB-436E-45AD-BD20-FE859B691720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166743F-0825-413F-8024-5CD977EAAC54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A22047C-DA56-4397-8D81-B6AC2F16E676}"/>
            </a:ext>
          </a:extLst>
        </xdr:cNvPr>
        <xdr:cNvSpPr txBox="1"/>
      </xdr:nvSpPr>
      <xdr:spPr>
        <a:xfrm>
          <a:off x="403648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DB8C796-7904-493D-8D84-E45440579BE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A3A5989-A7C2-4973-AF5B-FBD2F81AE6AD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D993ECD-E4E2-43D8-8A65-F7EBEB59E519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C3BBABD-4802-417B-9A10-4F66A157240B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CBD7879-4E45-4AE7-85B5-F40504D0AF87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3BA624A-7758-4B48-A323-3473286F12E4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B1C0F56-A39E-45FE-B4B7-46258254A601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A0A1519-0383-4A8A-A44D-F13C964B1555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EDABC8-F36D-4081-999F-968B194CFD30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A6DF42B-9DB8-4FB2-BF48-0605B42E209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C7F1B4D-65C5-4EB8-9755-78371E375ECE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F481D6-9057-4CE0-A95D-3E88480801B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84ECBA2-D2B2-42A2-966F-A0581D4C645F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1121834</xdr:colOff>
      <xdr:row>13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9D1DD42-5AB4-4E91-B0A7-676B7FA91688}"/>
            </a:ext>
          </a:extLst>
        </xdr:cNvPr>
        <xdr:cNvSpPr txBox="1"/>
      </xdr:nvSpPr>
      <xdr:spPr>
        <a:xfrm>
          <a:off x="4036484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990FA6-D430-4C3F-9F2F-78964E6F985C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D62F3A4-5C08-49C1-BBDC-45FFEA9F57CD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3B1C8CF-565C-4BB2-B15C-7101D5A6680B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67F1FDB-CDD7-4D86-BB0A-6C01E6FD37E7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27CDA05-14EE-48A3-84A0-1948387CD447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37BA752-9A11-4F6D-91F6-B26B9ABEEA67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9DCD3EC-D48C-4165-9EF4-8364CB5D36B3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5272B3A-8125-4C6E-86E1-F0B1DBBF7991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AC42FF1-D29B-489E-BB42-3AB55DD28720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CA1D6DB-4880-4FDC-9BA9-87B144C2C23E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805377F-3B75-4C0F-A75A-B75689CDBF8A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8355FB-349D-4762-A9EB-BB39AAA768F3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A070B1F-A86D-433C-BAA6-38EA0F37B040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ECF07AE-D594-41FD-96AD-30423B28804B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8CD444B-C00E-466F-83CD-E6F12A0FDE51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5310505-D020-4C9F-BCDD-EAB77067DE73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202560C-EC53-4991-9BCA-D13603AA4160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A290C22-5B33-4647-B3C0-A1BDD27026E0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CA79FE8-6552-4A14-978B-F75550F9B942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D2A26B6-42DB-47E9-B778-DCA4368D5AF6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92088E4-E356-4C6F-BF6C-ED65CBF50272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6E8E983-49A9-47EC-B188-0F237611C3AD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06EE0E1-BF4D-4089-ACC9-EE80B6F31215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AC9CC7B-2FC3-4A2F-9D87-0D63FE199CDA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D82B3BD-06AE-48B9-8BC0-4CF761DF6D1D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8262837-021E-49CD-9DE4-FD579C3E4FE8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6FC507A-7661-4D2E-AE8D-4E23D98BC8E9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50F8C92-2F1B-4F96-8F4E-DCEA8335C65E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CEDF1D9-D40F-4903-8A49-22A7050EB6F5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B207AC-144F-4AB8-98F9-588073F6085C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1ED37E0-807C-4AAA-8855-DE510D2B00F3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20CE73A-F787-49B7-831D-789ADA6D4036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C653E2F-0DC4-4DEE-A724-A4C109FFFD1B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3238651-AEB7-4F3F-B9B1-560258762C1B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60F3DAD-31BB-4E03-98CA-CEDE2EF077A7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B7EE372-285B-45B9-836B-0E3E59E72E3C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78404B8-1CC5-4EF6-B572-E339355FA719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3FAC4A7-5953-4CCD-BF3D-6DCD6167691E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47C6D39-6E0C-43C3-9438-C3F70382440B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0A6A4B9-9866-465A-8AA0-8E4EBAD637B7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CC6DC60-F61F-4129-A5E1-A140262932F1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B131D6D9-0C2D-41E5-9C20-708069871E7D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D7558A5-8131-4A5D-ACBB-D61AE64EE8AE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1CAD2B5-DCF6-45D6-8310-C102E9556F2A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7599CFB-6CD1-4161-89B7-CF157413BEB8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506D5FD-63EF-416E-97F4-FB3BE3024B98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50E0DA8-0A79-4EDD-8D32-F066CDBDF433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6071E37-E0CB-44D4-B8AD-CDAD7F76F6BD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3258F6B-10C6-4DE0-BE65-1EE0B21D896F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5E34C89-0854-4EC2-A39B-D6FB71434E99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1F3DA41-D919-453A-8284-D7AF88E6FF56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2D7AF3B-1E3E-4473-BAA3-AF7C92878DF5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D893D74-4292-4BAA-AD72-8B819AA7E6BC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7C0E933-8EC2-4DDA-B941-355E9E57C91F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9190BC2-8080-4DD3-8C59-CCEB442628F8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C44D33B-9864-4237-845C-CFF87908C1C6}"/>
            </a:ext>
          </a:extLst>
        </xdr:cNvPr>
        <xdr:cNvSpPr txBox="1"/>
      </xdr:nvSpPr>
      <xdr:spPr>
        <a:xfrm>
          <a:off x="4103159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901DEFC-FBCD-440D-AE9F-CFD7D39EE842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2993FD3-CB10-4FA0-9826-2E2C9F601D4B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559EB07-06B9-43EA-8A46-3E635F107E1E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E56A0D3-8878-4055-897F-70DEA5566F68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B42B82F-8AE3-4D9B-8A27-9B4FBD963F42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F6E9614-ECDB-423A-A632-479CC992F367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F98BBB4-4FC3-4CE3-8451-C6A31C86BC8D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673B9F0B-66DF-45C8-AE6E-69DFFDD1DA80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FDB23F5-A367-4474-BD93-33A1348708E7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B681A37-55B3-4998-BBB5-C24532F09A5C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CEAC4D8-4FC3-43F9-B1A2-037D6076C60F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6698087-152A-4B76-A445-94344A8D0501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8F7FC10-F7C4-4533-A0CF-1258D7A20CBE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26</xdr:col>
      <xdr:colOff>1121834</xdr:colOff>
      <xdr:row>12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1F19BED6-A847-40D1-BBA8-00B612612B01}"/>
            </a:ext>
          </a:extLst>
        </xdr:cNvPr>
        <xdr:cNvSpPr txBox="1"/>
      </xdr:nvSpPr>
      <xdr:spPr>
        <a:xfrm>
          <a:off x="4103159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1121834</xdr:colOff>
      <xdr:row>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4065059" y="328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AJI_2026\TPP%20TAHUN%202026\TPP_BKPSDM_JULI%202026.xlsx" TargetMode="External"/><Relationship Id="rId1" Type="http://schemas.openxmlformats.org/officeDocument/2006/relationships/externalLinkPath" Target="TPP_BKPSDM_JUL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AJI_2026\TPP%20TAHUN%202026\TPP_BKPSDM_MEI%202026.xlsx" TargetMode="External"/><Relationship Id="rId1" Type="http://schemas.openxmlformats.org/officeDocument/2006/relationships/externalLinkPath" Target="TPP_BKPSDM_ME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AJI_2026\TPP%20TAHUN%202026\TPP_BKPSDM_JUNI%202026.xlsx" TargetMode="External"/><Relationship Id="rId1" Type="http://schemas.openxmlformats.org/officeDocument/2006/relationships/externalLinkPath" Target="TPP_BKPSDM_JUNI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_2025/TPP_%20BKPP_TA_2025/TPP_2025/TPP_BKPP_JANUARI_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_Perhitungan"/>
      <sheetName val="PK PNS"/>
      <sheetName val="TPP BK"/>
      <sheetName val="TPP KK"/>
      <sheetName val="TPP REKAP BK&amp;KK"/>
      <sheetName val="Sheet1"/>
      <sheetName val="REKENING"/>
      <sheetName val="Sheet4"/>
      <sheetName val="Sheet2"/>
      <sheetName val="Sheet3"/>
    </sheetNames>
    <sheetDataSet>
      <sheetData sheetId="0" refreshError="1"/>
      <sheetData sheetId="1" refreshError="1"/>
      <sheetData sheetId="2">
        <row r="12">
          <cell r="G12">
            <v>12885.27</v>
          </cell>
          <cell r="O12">
            <v>1275641.73</v>
          </cell>
        </row>
      </sheetData>
      <sheetData sheetId="3" refreshError="1"/>
      <sheetData sheetId="4">
        <row r="120">
          <cell r="I120">
            <v>291341.87000000029</v>
          </cell>
          <cell r="Q120">
            <v>28137617.198459983</v>
          </cell>
          <cell r="R120">
            <v>2231873.2102590003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_Perhitungan"/>
      <sheetName val="PK PNS"/>
      <sheetName val="TPP BK"/>
      <sheetName val="TPP KK"/>
      <sheetName val="TPP REKAP BK&amp;KK"/>
      <sheetName val="Sheet1"/>
      <sheetName val="REKENING"/>
      <sheetName val="Sheet4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0">
          <cell r="I120">
            <v>277408.94200000016</v>
          </cell>
          <cell r="Q120">
            <v>27307022.431391977</v>
          </cell>
          <cell r="R120">
            <v>2060443.1258927986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_Perhitungan"/>
      <sheetName val="PK PNS"/>
      <sheetName val="TPP BK"/>
      <sheetName val="TPP KK"/>
      <sheetName val="TPP REKAP BK&amp;KK"/>
      <sheetName val="Sheet1"/>
      <sheetName val="REKENING"/>
      <sheetName val="Sheet4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0">
          <cell r="I120">
            <v>277408.94200000016</v>
          </cell>
          <cell r="Q120">
            <v>27246773.917439979</v>
          </cell>
          <cell r="R120">
            <v>2058055.830467999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_Perhitungan"/>
      <sheetName val="PK PNS"/>
      <sheetName val="TPP BK"/>
      <sheetName val="Sheet1"/>
      <sheetName val="REKENING"/>
      <sheetName val="Sheet4"/>
      <sheetName val="Sheet2"/>
    </sheetNames>
    <sheetDataSet>
      <sheetData sheetId="0"/>
      <sheetData sheetId="1"/>
      <sheetData sheetId="2">
        <row r="11">
          <cell r="Q11">
            <v>293176.07550000004</v>
          </cell>
        </row>
        <row r="13">
          <cell r="Q13">
            <v>943949.79251100007</v>
          </cell>
        </row>
        <row r="15">
          <cell r="Q15">
            <v>780989.57599162497</v>
          </cell>
        </row>
        <row r="19">
          <cell r="Q19">
            <v>798679.26438299997</v>
          </cell>
        </row>
        <row r="21">
          <cell r="Q21">
            <v>454393.42957799998</v>
          </cell>
        </row>
        <row r="23">
          <cell r="Q23">
            <v>649909.89280799998</v>
          </cell>
        </row>
        <row r="25">
          <cell r="Q25">
            <v>581135.15691000002</v>
          </cell>
        </row>
        <row r="27">
          <cell r="Q27">
            <v>668056.29105599993</v>
          </cell>
        </row>
        <row r="29">
          <cell r="Q29">
            <v>643861.09339200007</v>
          </cell>
        </row>
        <row r="31">
          <cell r="Q31">
            <v>587541.81859559997</v>
          </cell>
        </row>
        <row r="33">
          <cell r="Q33">
            <v>390693.44357999996</v>
          </cell>
        </row>
        <row r="35">
          <cell r="Q35">
            <v>342748.54429200001</v>
          </cell>
        </row>
        <row r="37">
          <cell r="Q37">
            <v>349121.07499994995</v>
          </cell>
        </row>
        <row r="39">
          <cell r="Q39">
            <v>383546.61229499994</v>
          </cell>
        </row>
        <row r="41">
          <cell r="Q41">
            <v>399393.93383999995</v>
          </cell>
        </row>
        <row r="43">
          <cell r="Q43">
            <v>353009.39882174996</v>
          </cell>
        </row>
        <row r="45">
          <cell r="Q45">
            <v>354629.53374749998</v>
          </cell>
        </row>
        <row r="47">
          <cell r="Q47">
            <v>291020.88370162499</v>
          </cell>
        </row>
        <row r="49">
          <cell r="Q49">
            <v>397405.250352</v>
          </cell>
        </row>
        <row r="51">
          <cell r="Q51">
            <v>355709.62369799998</v>
          </cell>
        </row>
        <row r="53">
          <cell r="Q53">
            <v>340318.341903375</v>
          </cell>
        </row>
        <row r="55">
          <cell r="Q55">
            <v>351067.13180550002</v>
          </cell>
        </row>
        <row r="57">
          <cell r="Q57">
            <v>404303.49620099994</v>
          </cell>
        </row>
        <row r="59">
          <cell r="Q59">
            <v>345988.81414349994</v>
          </cell>
        </row>
        <row r="61">
          <cell r="Q61">
            <v>387275.393835</v>
          </cell>
        </row>
        <row r="63">
          <cell r="Q63">
            <v>392868.56614499999</v>
          </cell>
        </row>
        <row r="65">
          <cell r="Q65">
            <v>347608.94906925003</v>
          </cell>
        </row>
        <row r="67">
          <cell r="Q67">
            <v>413687.59640999994</v>
          </cell>
        </row>
        <row r="69">
          <cell r="Q69">
            <v>378264.17177999992</v>
          </cell>
        </row>
        <row r="71">
          <cell r="Q71">
            <v>357329.75862374995</v>
          </cell>
        </row>
        <row r="73">
          <cell r="Q73">
            <v>353549.44379699999</v>
          </cell>
        </row>
        <row r="75">
          <cell r="Q75">
            <v>406789.350561</v>
          </cell>
        </row>
        <row r="77">
          <cell r="Q77">
            <v>356519.69116087497</v>
          </cell>
        </row>
        <row r="79">
          <cell r="Q79">
            <v>411823.20564</v>
          </cell>
        </row>
        <row r="81">
          <cell r="Q81">
            <v>405608.56973999995</v>
          </cell>
        </row>
        <row r="83">
          <cell r="Q83">
            <v>375568.11962999997</v>
          </cell>
        </row>
        <row r="85">
          <cell r="Q85">
            <v>304204.39087499998</v>
          </cell>
        </row>
        <row r="87">
          <cell r="Q87">
            <v>336268.00458900002</v>
          </cell>
        </row>
        <row r="89">
          <cell r="Q89">
            <v>359489.93852474994</v>
          </cell>
        </row>
        <row r="91">
          <cell r="Q91">
            <v>356240.37437999999</v>
          </cell>
        </row>
        <row r="93">
          <cell r="Q93">
            <v>409337.35128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1"/>
  <sheetViews>
    <sheetView zoomScale="130" zoomScaleNormal="130" workbookViewId="0">
      <pane ySplit="10" topLeftCell="A62" activePane="bottomLeft" state="frozen"/>
      <selection pane="bottomLeft" activeCell="D125" sqref="D125"/>
    </sheetView>
  </sheetViews>
  <sheetFormatPr defaultRowHeight="12.75" x14ac:dyDescent="0.25"/>
  <cols>
    <col min="1" max="1" width="3.42578125" style="54" customWidth="1"/>
    <col min="2" max="2" width="30.85546875" style="54" customWidth="1"/>
    <col min="3" max="3" width="14.85546875" style="54" customWidth="1"/>
    <col min="4" max="4" width="24.140625" style="55" customWidth="1"/>
    <col min="5" max="5" width="6.5703125" style="54" customWidth="1"/>
    <col min="6" max="7" width="5.7109375" style="56" customWidth="1"/>
    <col min="8" max="10" width="5.28515625" style="56" customWidth="1"/>
    <col min="11" max="14" width="5.7109375" style="56" customWidth="1"/>
    <col min="15" max="15" width="5" style="56" customWidth="1"/>
    <col min="16" max="16" width="5.28515625" style="56" customWidth="1"/>
    <col min="17" max="28" width="5.7109375" style="54" customWidth="1"/>
    <col min="29" max="16384" width="9.140625" style="54"/>
  </cols>
  <sheetData>
    <row r="1" spans="1:28" ht="13.5" x14ac:dyDescent="0.25">
      <c r="A1" s="359" t="s">
        <v>458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</row>
    <row r="2" spans="1:28" ht="13.5" x14ac:dyDescent="0.25">
      <c r="A2" s="26"/>
      <c r="B2" s="26"/>
      <c r="C2" s="26"/>
      <c r="D2" s="107"/>
      <c r="E2" s="26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5" customHeight="1" x14ac:dyDescent="0.25">
      <c r="A3" s="109" t="s">
        <v>84</v>
      </c>
      <c r="B3" s="109"/>
      <c r="C3" s="109"/>
      <c r="D3" s="9" t="s">
        <v>453</v>
      </c>
      <c r="E3" s="110"/>
      <c r="F3" s="110"/>
      <c r="G3" s="110"/>
      <c r="H3" s="110"/>
      <c r="I3" s="108"/>
      <c r="J3" s="108"/>
      <c r="K3" s="108"/>
      <c r="L3" s="108"/>
      <c r="M3" s="108"/>
      <c r="N3" s="108"/>
      <c r="O3" s="108"/>
      <c r="P3" s="108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" x14ac:dyDescent="0.25">
      <c r="A4" s="109" t="s">
        <v>90</v>
      </c>
      <c r="B4" s="109"/>
      <c r="C4" s="109"/>
      <c r="D4" s="247" t="s">
        <v>470</v>
      </c>
      <c r="E4" s="111"/>
      <c r="F4" s="111"/>
      <c r="G4" s="111"/>
      <c r="H4" s="111"/>
      <c r="I4" s="108"/>
      <c r="J4" s="108"/>
      <c r="K4" s="108"/>
      <c r="L4" s="108"/>
      <c r="M4" s="108"/>
      <c r="N4" s="108"/>
      <c r="O4" s="108"/>
      <c r="P4" s="108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x14ac:dyDescent="0.25">
      <c r="A5" s="26"/>
      <c r="B5" s="26"/>
      <c r="C5" s="26"/>
      <c r="D5" s="107"/>
      <c r="E5" s="26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8.5" customHeight="1" x14ac:dyDescent="0.25">
      <c r="A6" s="360" t="s">
        <v>1</v>
      </c>
      <c r="B6" s="361" t="s">
        <v>21</v>
      </c>
      <c r="C6" s="375" t="s">
        <v>257</v>
      </c>
      <c r="D6" s="364" t="s">
        <v>4</v>
      </c>
      <c r="E6" s="364" t="s">
        <v>10</v>
      </c>
      <c r="F6" s="365" t="s">
        <v>11</v>
      </c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0" t="s">
        <v>17</v>
      </c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</row>
    <row r="7" spans="1:28" ht="12.75" customHeight="1" x14ac:dyDescent="0.25">
      <c r="A7" s="360"/>
      <c r="B7" s="362"/>
      <c r="C7" s="376"/>
      <c r="D7" s="364"/>
      <c r="E7" s="364"/>
      <c r="F7" s="360" t="s">
        <v>130</v>
      </c>
      <c r="G7" s="360"/>
      <c r="H7" s="360"/>
      <c r="I7" s="360"/>
      <c r="J7" s="360" t="s">
        <v>131</v>
      </c>
      <c r="K7" s="360"/>
      <c r="L7" s="360"/>
      <c r="M7" s="360"/>
      <c r="N7" s="138" t="s">
        <v>329</v>
      </c>
      <c r="O7" s="339" t="s">
        <v>129</v>
      </c>
      <c r="P7" s="339" t="s">
        <v>128</v>
      </c>
      <c r="Q7" s="360" t="s">
        <v>130</v>
      </c>
      <c r="R7" s="360"/>
      <c r="S7" s="360"/>
      <c r="T7" s="360"/>
      <c r="U7" s="360" t="s">
        <v>131</v>
      </c>
      <c r="V7" s="360"/>
      <c r="W7" s="360"/>
      <c r="X7" s="360"/>
      <c r="Y7" s="139" t="s">
        <v>329</v>
      </c>
      <c r="Z7" s="360" t="s">
        <v>129</v>
      </c>
      <c r="AA7" s="360" t="s">
        <v>128</v>
      </c>
      <c r="AB7" s="360" t="s">
        <v>86</v>
      </c>
    </row>
    <row r="8" spans="1:28" ht="45" x14ac:dyDescent="0.25">
      <c r="A8" s="360"/>
      <c r="B8" s="362"/>
      <c r="C8" s="376"/>
      <c r="D8" s="364"/>
      <c r="E8" s="364"/>
      <c r="F8" s="112" t="s">
        <v>247</v>
      </c>
      <c r="G8" s="112" t="s">
        <v>248</v>
      </c>
      <c r="H8" s="112" t="s">
        <v>249</v>
      </c>
      <c r="I8" s="112" t="s">
        <v>250</v>
      </c>
      <c r="J8" s="112" t="s">
        <v>251</v>
      </c>
      <c r="K8" s="112" t="s">
        <v>252</v>
      </c>
      <c r="L8" s="112" t="s">
        <v>253</v>
      </c>
      <c r="M8" s="112" t="s">
        <v>254</v>
      </c>
      <c r="N8" s="137" t="s">
        <v>425</v>
      </c>
      <c r="O8" s="340"/>
      <c r="P8" s="340"/>
      <c r="Q8" s="126" t="s">
        <v>12</v>
      </c>
      <c r="R8" s="126" t="s">
        <v>13</v>
      </c>
      <c r="S8" s="126" t="s">
        <v>14</v>
      </c>
      <c r="T8" s="126" t="s">
        <v>15</v>
      </c>
      <c r="U8" s="126" t="s">
        <v>251</v>
      </c>
      <c r="V8" s="126" t="s">
        <v>252</v>
      </c>
      <c r="W8" s="126" t="s">
        <v>253</v>
      </c>
      <c r="X8" s="126" t="s">
        <v>254</v>
      </c>
      <c r="Y8" s="238" t="s">
        <v>425</v>
      </c>
      <c r="Z8" s="360"/>
      <c r="AA8" s="360"/>
      <c r="AB8" s="360"/>
    </row>
    <row r="9" spans="1:28" x14ac:dyDescent="0.25">
      <c r="A9" s="360"/>
      <c r="B9" s="363"/>
      <c r="C9" s="377"/>
      <c r="D9" s="364"/>
      <c r="E9" s="364"/>
      <c r="F9" s="112" t="s">
        <v>180</v>
      </c>
      <c r="G9" s="112" t="s">
        <v>180</v>
      </c>
      <c r="H9" s="112" t="s">
        <v>180</v>
      </c>
      <c r="I9" s="112" t="s">
        <v>180</v>
      </c>
      <c r="J9" s="112" t="s">
        <v>180</v>
      </c>
      <c r="K9" s="112" t="s">
        <v>180</v>
      </c>
      <c r="L9" s="112" t="s">
        <v>180</v>
      </c>
      <c r="M9" s="112" t="s">
        <v>180</v>
      </c>
      <c r="N9" s="112" t="s">
        <v>266</v>
      </c>
      <c r="O9" s="112" t="s">
        <v>16</v>
      </c>
      <c r="P9" s="112" t="s">
        <v>16</v>
      </c>
      <c r="Q9" s="113">
        <v>5.0000000000000001E-3</v>
      </c>
      <c r="R9" s="114">
        <v>0.01</v>
      </c>
      <c r="S9" s="115" t="s">
        <v>19</v>
      </c>
      <c r="T9" s="115" t="s">
        <v>20</v>
      </c>
      <c r="U9" s="115" t="s">
        <v>18</v>
      </c>
      <c r="V9" s="114">
        <v>0.01</v>
      </c>
      <c r="W9" s="115" t="s">
        <v>19</v>
      </c>
      <c r="X9" s="115" t="s">
        <v>20</v>
      </c>
      <c r="Y9" s="114">
        <v>0.02</v>
      </c>
      <c r="Z9" s="114">
        <v>0</v>
      </c>
      <c r="AA9" s="114">
        <v>0.03</v>
      </c>
      <c r="AB9" s="360"/>
    </row>
    <row r="10" spans="1:28" x14ac:dyDescent="0.25">
      <c r="A10" s="116">
        <v>1</v>
      </c>
      <c r="B10" s="117">
        <v>2</v>
      </c>
      <c r="C10" s="118">
        <v>3</v>
      </c>
      <c r="D10" s="116">
        <v>4</v>
      </c>
      <c r="E10" s="116">
        <v>5</v>
      </c>
      <c r="F10" s="116">
        <v>6</v>
      </c>
      <c r="G10" s="116">
        <v>7</v>
      </c>
      <c r="H10" s="116">
        <v>8</v>
      </c>
      <c r="I10" s="116">
        <v>9</v>
      </c>
      <c r="J10" s="116">
        <v>10</v>
      </c>
      <c r="K10" s="116">
        <v>11</v>
      </c>
      <c r="L10" s="116">
        <v>12</v>
      </c>
      <c r="M10" s="116">
        <v>13</v>
      </c>
      <c r="N10" s="116">
        <v>14</v>
      </c>
      <c r="O10" s="116">
        <v>15</v>
      </c>
      <c r="P10" s="116">
        <v>16</v>
      </c>
      <c r="Q10" s="116">
        <v>17</v>
      </c>
      <c r="R10" s="116">
        <v>18</v>
      </c>
      <c r="S10" s="116">
        <v>19</v>
      </c>
      <c r="T10" s="116">
        <v>20</v>
      </c>
      <c r="U10" s="116">
        <v>21</v>
      </c>
      <c r="V10" s="116">
        <v>22</v>
      </c>
      <c r="W10" s="116">
        <v>23</v>
      </c>
      <c r="X10" s="116">
        <v>24</v>
      </c>
      <c r="Y10" s="116">
        <v>25</v>
      </c>
      <c r="Z10" s="116">
        <v>26</v>
      </c>
      <c r="AA10" s="116">
        <v>27</v>
      </c>
      <c r="AB10" s="116">
        <v>28</v>
      </c>
    </row>
    <row r="11" spans="1:28" ht="6.75" customHeight="1" x14ac:dyDescent="0.25">
      <c r="A11" s="169"/>
      <c r="B11" s="31"/>
      <c r="C11" s="179"/>
      <c r="D11" s="179"/>
      <c r="E11" s="176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5"/>
      <c r="R11" s="174"/>
      <c r="S11" s="173"/>
      <c r="T11" s="175"/>
      <c r="U11" s="175"/>
      <c r="V11" s="174"/>
      <c r="W11" s="173"/>
      <c r="X11" s="173"/>
      <c r="Y11" s="174"/>
      <c r="Z11" s="175"/>
      <c r="AA11" s="174"/>
      <c r="AB11" s="173"/>
    </row>
    <row r="12" spans="1:28" ht="15" customHeight="1" x14ac:dyDescent="0.25">
      <c r="A12" s="283">
        <v>1</v>
      </c>
      <c r="B12" s="44" t="s">
        <v>465</v>
      </c>
      <c r="C12" s="351" t="s">
        <v>258</v>
      </c>
      <c r="D12" s="367" t="s">
        <v>469</v>
      </c>
      <c r="E12" s="347">
        <v>19</v>
      </c>
      <c r="F12" s="349">
        <v>0</v>
      </c>
      <c r="G12" s="349">
        <v>0</v>
      </c>
      <c r="H12" s="349">
        <v>0</v>
      </c>
      <c r="I12" s="349">
        <v>0</v>
      </c>
      <c r="J12" s="349">
        <v>0</v>
      </c>
      <c r="K12" s="349">
        <v>0</v>
      </c>
      <c r="L12" s="349">
        <v>0</v>
      </c>
      <c r="M12" s="349">
        <v>0</v>
      </c>
      <c r="N12" s="347">
        <v>0</v>
      </c>
      <c r="O12" s="349">
        <v>0</v>
      </c>
      <c r="P12" s="349">
        <v>0</v>
      </c>
      <c r="Q12" s="341">
        <f>SUM(F12*0.5%)</f>
        <v>0</v>
      </c>
      <c r="R12" s="343">
        <f>SUM(G12*1%)</f>
        <v>0</v>
      </c>
      <c r="S12" s="345">
        <f>SUM(H12*1.25%)</f>
        <v>0</v>
      </c>
      <c r="T12" s="341">
        <f>SUM(I12*1.5%)</f>
        <v>0</v>
      </c>
      <c r="U12" s="341">
        <f>SUM(J12*0.5%)</f>
        <v>0</v>
      </c>
      <c r="V12" s="343">
        <f>SUM(K12*1%)</f>
        <v>0</v>
      </c>
      <c r="W12" s="345">
        <f>SUM(L12*1.25%)</f>
        <v>0</v>
      </c>
      <c r="X12" s="345">
        <f>SUM(M12*1.5%)</f>
        <v>0</v>
      </c>
      <c r="Y12" s="343">
        <f>SUM(N12*2%)</f>
        <v>0</v>
      </c>
      <c r="Z12" s="341">
        <f>SUM(O12*0%)</f>
        <v>0</v>
      </c>
      <c r="AA12" s="343">
        <f>SUM(P12*3%)</f>
        <v>0</v>
      </c>
      <c r="AB12" s="345">
        <f>SUM(Q12:AA12)</f>
        <v>0</v>
      </c>
    </row>
    <row r="13" spans="1:28" ht="15" customHeight="1" x14ac:dyDescent="0.25">
      <c r="A13" s="284"/>
      <c r="B13" s="316" t="s">
        <v>468</v>
      </c>
      <c r="C13" s="352"/>
      <c r="D13" s="368"/>
      <c r="E13" s="348"/>
      <c r="F13" s="350"/>
      <c r="G13" s="350"/>
      <c r="H13" s="350"/>
      <c r="I13" s="350"/>
      <c r="J13" s="350"/>
      <c r="K13" s="350"/>
      <c r="L13" s="350"/>
      <c r="M13" s="350"/>
      <c r="N13" s="348"/>
      <c r="O13" s="350"/>
      <c r="P13" s="350"/>
      <c r="Q13" s="342"/>
      <c r="R13" s="344"/>
      <c r="S13" s="346"/>
      <c r="T13" s="342"/>
      <c r="U13" s="342"/>
      <c r="V13" s="344"/>
      <c r="W13" s="346"/>
      <c r="X13" s="346"/>
      <c r="Y13" s="344"/>
      <c r="Z13" s="342"/>
      <c r="AA13" s="344"/>
      <c r="AB13" s="346"/>
    </row>
    <row r="14" spans="1:28" ht="15" customHeight="1" x14ac:dyDescent="0.25">
      <c r="A14" s="283">
        <v>2</v>
      </c>
      <c r="B14" s="44" t="s">
        <v>133</v>
      </c>
      <c r="C14" s="351" t="s">
        <v>258</v>
      </c>
      <c r="D14" s="367" t="s">
        <v>461</v>
      </c>
      <c r="E14" s="347">
        <v>19</v>
      </c>
      <c r="F14" s="349">
        <v>0</v>
      </c>
      <c r="G14" s="349">
        <v>0</v>
      </c>
      <c r="H14" s="349">
        <v>0</v>
      </c>
      <c r="I14" s="349">
        <v>0</v>
      </c>
      <c r="J14" s="349">
        <v>0</v>
      </c>
      <c r="K14" s="349">
        <v>0</v>
      </c>
      <c r="L14" s="349">
        <v>0</v>
      </c>
      <c r="M14" s="349">
        <v>0</v>
      </c>
      <c r="N14" s="347">
        <v>0</v>
      </c>
      <c r="O14" s="349">
        <v>0</v>
      </c>
      <c r="P14" s="349">
        <v>0</v>
      </c>
      <c r="Q14" s="341">
        <f>SUM(F14*0.5%)</f>
        <v>0</v>
      </c>
      <c r="R14" s="343">
        <f>SUM(G14*1%)</f>
        <v>0</v>
      </c>
      <c r="S14" s="345">
        <f>SUM(H14*1.25%)</f>
        <v>0</v>
      </c>
      <c r="T14" s="341">
        <f>SUM(I14*1.5%)</f>
        <v>0</v>
      </c>
      <c r="U14" s="341">
        <f>SUM(J14*0.5%)</f>
        <v>0</v>
      </c>
      <c r="V14" s="343">
        <f>SUM(K14*1%)</f>
        <v>0</v>
      </c>
      <c r="W14" s="345">
        <f>SUM(L14*1.25%)</f>
        <v>0</v>
      </c>
      <c r="X14" s="345">
        <f>SUM(M14*1.5%)</f>
        <v>0</v>
      </c>
      <c r="Y14" s="343">
        <f>SUM(N14*2%)</f>
        <v>0</v>
      </c>
      <c r="Z14" s="341">
        <f>SUM(O14*0%)</f>
        <v>0</v>
      </c>
      <c r="AA14" s="343">
        <f>SUM(P14*3%)</f>
        <v>0</v>
      </c>
      <c r="AB14" s="345">
        <f>SUM(Q14:AA14)</f>
        <v>0</v>
      </c>
    </row>
    <row r="15" spans="1:28" ht="15" customHeight="1" x14ac:dyDescent="0.25">
      <c r="A15" s="104"/>
      <c r="B15" s="47" t="s">
        <v>134</v>
      </c>
      <c r="C15" s="352"/>
      <c r="D15" s="368"/>
      <c r="E15" s="348"/>
      <c r="F15" s="350"/>
      <c r="G15" s="350"/>
      <c r="H15" s="350"/>
      <c r="I15" s="350"/>
      <c r="J15" s="350"/>
      <c r="K15" s="350"/>
      <c r="L15" s="350"/>
      <c r="M15" s="350"/>
      <c r="N15" s="348"/>
      <c r="O15" s="350"/>
      <c r="P15" s="350"/>
      <c r="Q15" s="342"/>
      <c r="R15" s="344"/>
      <c r="S15" s="346"/>
      <c r="T15" s="342"/>
      <c r="U15" s="342"/>
      <c r="V15" s="344"/>
      <c r="W15" s="346"/>
      <c r="X15" s="346"/>
      <c r="Y15" s="344"/>
      <c r="Z15" s="342"/>
      <c r="AA15" s="344"/>
      <c r="AB15" s="346"/>
    </row>
    <row r="16" spans="1:28" ht="15" customHeight="1" x14ac:dyDescent="0.25">
      <c r="A16" s="283">
        <v>3</v>
      </c>
      <c r="B16" s="44" t="s">
        <v>136</v>
      </c>
      <c r="C16" s="351" t="s">
        <v>259</v>
      </c>
      <c r="D16" s="351" t="s">
        <v>275</v>
      </c>
      <c r="E16" s="347">
        <v>19</v>
      </c>
      <c r="F16" s="349">
        <v>0</v>
      </c>
      <c r="G16" s="349">
        <v>0</v>
      </c>
      <c r="H16" s="349">
        <v>0</v>
      </c>
      <c r="I16" s="349">
        <v>0</v>
      </c>
      <c r="J16" s="349">
        <v>0</v>
      </c>
      <c r="K16" s="349">
        <v>0</v>
      </c>
      <c r="L16" s="349">
        <v>0</v>
      </c>
      <c r="M16" s="349">
        <v>0</v>
      </c>
      <c r="N16" s="347">
        <v>0</v>
      </c>
      <c r="O16" s="349">
        <v>0</v>
      </c>
      <c r="P16" s="349">
        <v>0</v>
      </c>
      <c r="Q16" s="341">
        <v>0</v>
      </c>
      <c r="R16" s="343">
        <f>SUM(G16*1%)</f>
        <v>0</v>
      </c>
      <c r="S16" s="345">
        <f>SUM(H16*1.25%)</f>
        <v>0</v>
      </c>
      <c r="T16" s="341">
        <f>SUM(I16*1.5%)</f>
        <v>0</v>
      </c>
      <c r="U16" s="341">
        <f>SUM(J16*0.5%)</f>
        <v>0</v>
      </c>
      <c r="V16" s="343">
        <f>SUM(K16*1%)</f>
        <v>0</v>
      </c>
      <c r="W16" s="345">
        <f>SUM(L16*1.25%)</f>
        <v>0</v>
      </c>
      <c r="X16" s="345">
        <f>SUM(M16*1.5%)</f>
        <v>0</v>
      </c>
      <c r="Y16" s="343">
        <f>SUM(N16*2%)</f>
        <v>0</v>
      </c>
      <c r="Z16" s="341">
        <f t="shared" ref="Z16" si="0">SUM(O16*0%)</f>
        <v>0</v>
      </c>
      <c r="AA16" s="343">
        <f>SUM(P16*3%)</f>
        <v>0</v>
      </c>
      <c r="AB16" s="345">
        <f>SUM(Q16:AA16)</f>
        <v>0</v>
      </c>
    </row>
    <row r="17" spans="1:28" ht="15" customHeight="1" x14ac:dyDescent="0.25">
      <c r="A17" s="284"/>
      <c r="B17" s="287" t="s">
        <v>135</v>
      </c>
      <c r="C17" s="369"/>
      <c r="D17" s="369"/>
      <c r="E17" s="348"/>
      <c r="F17" s="350"/>
      <c r="G17" s="350"/>
      <c r="H17" s="350"/>
      <c r="I17" s="350"/>
      <c r="J17" s="350"/>
      <c r="K17" s="350"/>
      <c r="L17" s="350"/>
      <c r="M17" s="350"/>
      <c r="N17" s="348"/>
      <c r="O17" s="350"/>
      <c r="P17" s="350"/>
      <c r="Q17" s="342"/>
      <c r="R17" s="344"/>
      <c r="S17" s="346"/>
      <c r="T17" s="342"/>
      <c r="U17" s="342"/>
      <c r="V17" s="344"/>
      <c r="W17" s="346"/>
      <c r="X17" s="346"/>
      <c r="Y17" s="344"/>
      <c r="Z17" s="342"/>
      <c r="AA17" s="344"/>
      <c r="AB17" s="346"/>
    </row>
    <row r="18" spans="1:28" ht="17.25" customHeight="1" x14ac:dyDescent="0.25">
      <c r="A18" s="283">
        <v>4</v>
      </c>
      <c r="B18" s="288" t="s">
        <v>244</v>
      </c>
      <c r="C18" s="351" t="s">
        <v>259</v>
      </c>
      <c r="D18" s="351" t="s">
        <v>274</v>
      </c>
      <c r="E18" s="347">
        <v>19</v>
      </c>
      <c r="F18" s="349">
        <v>0</v>
      </c>
      <c r="G18" s="349">
        <v>0</v>
      </c>
      <c r="H18" s="349">
        <v>0</v>
      </c>
      <c r="I18" s="349">
        <v>0</v>
      </c>
      <c r="J18" s="349">
        <v>0</v>
      </c>
      <c r="K18" s="349">
        <v>0</v>
      </c>
      <c r="L18" s="349">
        <v>0</v>
      </c>
      <c r="M18" s="349">
        <v>0</v>
      </c>
      <c r="N18" s="347">
        <v>0</v>
      </c>
      <c r="O18" s="349">
        <v>0</v>
      </c>
      <c r="P18" s="349">
        <v>0</v>
      </c>
      <c r="Q18" s="341">
        <f>SUM(F18*0.5%)</f>
        <v>0</v>
      </c>
      <c r="R18" s="343">
        <f>SUM(G18*1%)</f>
        <v>0</v>
      </c>
      <c r="S18" s="345">
        <f>SUM(H18*1.25%)</f>
        <v>0</v>
      </c>
      <c r="T18" s="341">
        <f>SUM(I18*1.5%)</f>
        <v>0</v>
      </c>
      <c r="U18" s="341">
        <f>SUM(J18*0.5%)</f>
        <v>0</v>
      </c>
      <c r="V18" s="343">
        <f>SUM(K18*1%)</f>
        <v>0</v>
      </c>
      <c r="W18" s="345">
        <f>SUM(L18*1.25%)</f>
        <v>0</v>
      </c>
      <c r="X18" s="345">
        <f>SUM(M18*1.5%)</f>
        <v>0</v>
      </c>
      <c r="Y18" s="343">
        <f>SUM(N18*2%)</f>
        <v>0</v>
      </c>
      <c r="Z18" s="341">
        <f t="shared" ref="Z18" si="1">SUM(O18*0%)</f>
        <v>0</v>
      </c>
      <c r="AA18" s="343">
        <f>SUM(P18*3%)</f>
        <v>0</v>
      </c>
      <c r="AB18" s="345">
        <f>SUM(Q18:AA18)</f>
        <v>0</v>
      </c>
    </row>
    <row r="19" spans="1:28" ht="18" customHeight="1" x14ac:dyDescent="0.25">
      <c r="A19" s="284"/>
      <c r="B19" s="99" t="s">
        <v>240</v>
      </c>
      <c r="C19" s="352"/>
      <c r="D19" s="352"/>
      <c r="E19" s="348"/>
      <c r="F19" s="350"/>
      <c r="G19" s="350"/>
      <c r="H19" s="350"/>
      <c r="I19" s="350"/>
      <c r="J19" s="350"/>
      <c r="K19" s="350"/>
      <c r="L19" s="350"/>
      <c r="M19" s="350"/>
      <c r="N19" s="348"/>
      <c r="O19" s="350"/>
      <c r="P19" s="350"/>
      <c r="Q19" s="342"/>
      <c r="R19" s="344"/>
      <c r="S19" s="346"/>
      <c r="T19" s="342"/>
      <c r="U19" s="342"/>
      <c r="V19" s="344"/>
      <c r="W19" s="346"/>
      <c r="X19" s="346"/>
      <c r="Y19" s="344"/>
      <c r="Z19" s="342"/>
      <c r="AA19" s="344"/>
      <c r="AB19" s="346"/>
    </row>
    <row r="20" spans="1:28" ht="17.25" customHeight="1" x14ac:dyDescent="0.25">
      <c r="A20" s="283">
        <v>5</v>
      </c>
      <c r="B20" s="289" t="s">
        <v>348</v>
      </c>
      <c r="C20" s="353" t="s">
        <v>259</v>
      </c>
      <c r="D20" s="351" t="s">
        <v>350</v>
      </c>
      <c r="E20" s="347">
        <v>19</v>
      </c>
      <c r="F20" s="349">
        <v>0</v>
      </c>
      <c r="G20" s="349">
        <v>0</v>
      </c>
      <c r="H20" s="349">
        <v>0</v>
      </c>
      <c r="I20" s="349">
        <v>0</v>
      </c>
      <c r="J20" s="349">
        <v>0</v>
      </c>
      <c r="K20" s="349">
        <v>0</v>
      </c>
      <c r="L20" s="349">
        <v>0</v>
      </c>
      <c r="M20" s="349">
        <v>0</v>
      </c>
      <c r="N20" s="347">
        <v>0</v>
      </c>
      <c r="O20" s="349">
        <v>4</v>
      </c>
      <c r="P20" s="349">
        <v>0</v>
      </c>
      <c r="Q20" s="341">
        <f>SUM(F20*0.5%)</f>
        <v>0</v>
      </c>
      <c r="R20" s="343">
        <f>SUM(G20*1%)</f>
        <v>0</v>
      </c>
      <c r="S20" s="345">
        <f>SUM(H20*1.25%)</f>
        <v>0</v>
      </c>
      <c r="T20" s="341">
        <f>SUM(I20*1.5%)</f>
        <v>0</v>
      </c>
      <c r="U20" s="341">
        <f>SUM(J20*0.5%)</f>
        <v>0</v>
      </c>
      <c r="V20" s="343">
        <f>SUM(K20*1%)</f>
        <v>0</v>
      </c>
      <c r="W20" s="345">
        <f>SUM(L20*1.25%)</f>
        <v>0</v>
      </c>
      <c r="X20" s="345">
        <f>SUM(M20*1.5%)</f>
        <v>0</v>
      </c>
      <c r="Y20" s="343">
        <f>SUM(N20*2%)</f>
        <v>0</v>
      </c>
      <c r="Z20" s="341">
        <f t="shared" ref="Z20" si="2">SUM(O20*0%)</f>
        <v>0</v>
      </c>
      <c r="AA20" s="343">
        <f>SUM(P20*3%)</f>
        <v>0</v>
      </c>
      <c r="AB20" s="345">
        <f>SUM(Q20:AA20)</f>
        <v>0</v>
      </c>
    </row>
    <row r="21" spans="1:28" ht="17.25" customHeight="1" x14ac:dyDescent="0.25">
      <c r="A21" s="284"/>
      <c r="B21" s="32" t="s">
        <v>349</v>
      </c>
      <c r="C21" s="354"/>
      <c r="D21" s="369"/>
      <c r="E21" s="348"/>
      <c r="F21" s="350"/>
      <c r="G21" s="350"/>
      <c r="H21" s="350"/>
      <c r="I21" s="350"/>
      <c r="J21" s="350"/>
      <c r="K21" s="350"/>
      <c r="L21" s="350"/>
      <c r="M21" s="350"/>
      <c r="N21" s="348"/>
      <c r="O21" s="350"/>
      <c r="P21" s="350"/>
      <c r="Q21" s="342"/>
      <c r="R21" s="344"/>
      <c r="S21" s="346"/>
      <c r="T21" s="342"/>
      <c r="U21" s="342"/>
      <c r="V21" s="344"/>
      <c r="W21" s="346"/>
      <c r="X21" s="346"/>
      <c r="Y21" s="344"/>
      <c r="Z21" s="342"/>
      <c r="AA21" s="344"/>
      <c r="AB21" s="346"/>
    </row>
    <row r="22" spans="1:28" ht="17.25" customHeight="1" x14ac:dyDescent="0.25">
      <c r="A22" s="283">
        <v>6</v>
      </c>
      <c r="B22" s="290" t="s">
        <v>140</v>
      </c>
      <c r="C22" s="351" t="s">
        <v>261</v>
      </c>
      <c r="D22" s="351" t="s">
        <v>278</v>
      </c>
      <c r="E22" s="347">
        <v>19</v>
      </c>
      <c r="F22" s="349">
        <v>0</v>
      </c>
      <c r="G22" s="349">
        <v>0</v>
      </c>
      <c r="H22" s="349">
        <v>0</v>
      </c>
      <c r="I22" s="349">
        <v>0</v>
      </c>
      <c r="J22" s="349">
        <v>0</v>
      </c>
      <c r="K22" s="349">
        <v>0</v>
      </c>
      <c r="L22" s="349">
        <v>0</v>
      </c>
      <c r="M22" s="349">
        <v>0</v>
      </c>
      <c r="N22" s="347">
        <v>0</v>
      </c>
      <c r="O22" s="349">
        <v>0</v>
      </c>
      <c r="P22" s="349">
        <v>0</v>
      </c>
      <c r="Q22" s="341">
        <f>SUM(F22*0.5%)</f>
        <v>0</v>
      </c>
      <c r="R22" s="343">
        <f>SUM(G22*1%)</f>
        <v>0</v>
      </c>
      <c r="S22" s="345">
        <f>SUM(H22*1.25%)</f>
        <v>0</v>
      </c>
      <c r="T22" s="341">
        <f>SUM(I22*1.5%)</f>
        <v>0</v>
      </c>
      <c r="U22" s="341">
        <f>SUM(J22*0.5%)</f>
        <v>0</v>
      </c>
      <c r="V22" s="343">
        <f>SUM(K22*1%)</f>
        <v>0</v>
      </c>
      <c r="W22" s="345">
        <f>SUM(L22*1.25%)</f>
        <v>0</v>
      </c>
      <c r="X22" s="345">
        <f>SUM(M22*1.5%)</f>
        <v>0</v>
      </c>
      <c r="Y22" s="343">
        <f>SUM(N22*2%)</f>
        <v>0</v>
      </c>
      <c r="Z22" s="341">
        <f t="shared" ref="Z22" si="3">SUM(O22*0%)</f>
        <v>0</v>
      </c>
      <c r="AA22" s="343">
        <f>SUM(P22*3%)</f>
        <v>0</v>
      </c>
      <c r="AB22" s="345">
        <f>SUM(Q22:AA22)</f>
        <v>0</v>
      </c>
    </row>
    <row r="23" spans="1:28" ht="17.25" customHeight="1" x14ac:dyDescent="0.25">
      <c r="A23" s="36"/>
      <c r="B23" s="47" t="s">
        <v>139</v>
      </c>
      <c r="C23" s="352"/>
      <c r="D23" s="352"/>
      <c r="E23" s="348"/>
      <c r="F23" s="350"/>
      <c r="G23" s="350"/>
      <c r="H23" s="350"/>
      <c r="I23" s="350"/>
      <c r="J23" s="350"/>
      <c r="K23" s="350"/>
      <c r="L23" s="350"/>
      <c r="M23" s="350"/>
      <c r="N23" s="348"/>
      <c r="O23" s="350"/>
      <c r="P23" s="350"/>
      <c r="Q23" s="342"/>
      <c r="R23" s="344"/>
      <c r="S23" s="346"/>
      <c r="T23" s="342"/>
      <c r="U23" s="342"/>
      <c r="V23" s="344"/>
      <c r="W23" s="346"/>
      <c r="X23" s="346"/>
      <c r="Y23" s="344"/>
      <c r="Z23" s="342"/>
      <c r="AA23" s="344"/>
      <c r="AB23" s="346"/>
    </row>
    <row r="24" spans="1:28" ht="14.25" customHeight="1" x14ac:dyDescent="0.25">
      <c r="A24" s="105">
        <v>7</v>
      </c>
      <c r="B24" s="44" t="s">
        <v>175</v>
      </c>
      <c r="C24" s="351" t="s">
        <v>261</v>
      </c>
      <c r="D24" s="351" t="s">
        <v>276</v>
      </c>
      <c r="E24" s="347">
        <v>19</v>
      </c>
      <c r="F24" s="349">
        <v>0</v>
      </c>
      <c r="G24" s="349">
        <v>0</v>
      </c>
      <c r="H24" s="349">
        <v>0</v>
      </c>
      <c r="I24" s="349">
        <v>0</v>
      </c>
      <c r="J24" s="349">
        <v>0</v>
      </c>
      <c r="K24" s="349">
        <v>0</v>
      </c>
      <c r="L24" s="349">
        <v>0</v>
      </c>
      <c r="M24" s="349">
        <v>0</v>
      </c>
      <c r="N24" s="347">
        <v>0</v>
      </c>
      <c r="O24" s="349">
        <v>0</v>
      </c>
      <c r="P24" s="349">
        <v>0</v>
      </c>
      <c r="Q24" s="341">
        <v>0</v>
      </c>
      <c r="R24" s="343">
        <f>SUM(G24*1%)</f>
        <v>0</v>
      </c>
      <c r="S24" s="345">
        <f>SUM(H24*1.25%)</f>
        <v>0</v>
      </c>
      <c r="T24" s="341">
        <f>SUM(I24*1.5%)</f>
        <v>0</v>
      </c>
      <c r="U24" s="341">
        <f>SUM(J24*0.5%)</f>
        <v>0</v>
      </c>
      <c r="V24" s="343">
        <f>SUM(K24*1%)</f>
        <v>0</v>
      </c>
      <c r="W24" s="345">
        <f>SUM(L24*1.25%)</f>
        <v>0</v>
      </c>
      <c r="X24" s="345">
        <f>SUM(M24*1.5%)</f>
        <v>0</v>
      </c>
      <c r="Y24" s="343">
        <f>SUM(N24*2%)</f>
        <v>0</v>
      </c>
      <c r="Z24" s="341">
        <f t="shared" ref="Z24" si="4">SUM(O24*0%)</f>
        <v>0</v>
      </c>
      <c r="AA24" s="343">
        <f>SUM(P24*3%)</f>
        <v>0</v>
      </c>
      <c r="AB24" s="345">
        <f>SUM(Q24:AA24)</f>
        <v>0</v>
      </c>
    </row>
    <row r="25" spans="1:28" ht="16.5" customHeight="1" x14ac:dyDescent="0.25">
      <c r="A25" s="106"/>
      <c r="B25" s="47" t="s">
        <v>174</v>
      </c>
      <c r="C25" s="352"/>
      <c r="D25" s="352"/>
      <c r="E25" s="348"/>
      <c r="F25" s="350"/>
      <c r="G25" s="350"/>
      <c r="H25" s="350"/>
      <c r="I25" s="350"/>
      <c r="J25" s="350"/>
      <c r="K25" s="350"/>
      <c r="L25" s="350"/>
      <c r="M25" s="350"/>
      <c r="N25" s="348"/>
      <c r="O25" s="350"/>
      <c r="P25" s="350"/>
      <c r="Q25" s="342"/>
      <c r="R25" s="344"/>
      <c r="S25" s="346"/>
      <c r="T25" s="342"/>
      <c r="U25" s="342"/>
      <c r="V25" s="344"/>
      <c r="W25" s="346"/>
      <c r="X25" s="346"/>
      <c r="Y25" s="344"/>
      <c r="Z25" s="342"/>
      <c r="AA25" s="344"/>
      <c r="AB25" s="346"/>
    </row>
    <row r="26" spans="1:28" ht="12.75" customHeight="1" x14ac:dyDescent="0.25">
      <c r="A26" s="283">
        <v>8</v>
      </c>
      <c r="B26" s="44" t="s">
        <v>138</v>
      </c>
      <c r="C26" s="351" t="s">
        <v>261</v>
      </c>
      <c r="D26" s="351" t="s">
        <v>382</v>
      </c>
      <c r="E26" s="347">
        <v>19</v>
      </c>
      <c r="F26" s="349">
        <v>0</v>
      </c>
      <c r="G26" s="349">
        <v>0</v>
      </c>
      <c r="H26" s="349">
        <v>0</v>
      </c>
      <c r="I26" s="349">
        <v>0</v>
      </c>
      <c r="J26" s="349">
        <v>0</v>
      </c>
      <c r="K26" s="349">
        <v>0</v>
      </c>
      <c r="L26" s="349">
        <v>0</v>
      </c>
      <c r="M26" s="349">
        <v>0</v>
      </c>
      <c r="N26" s="347">
        <v>0</v>
      </c>
      <c r="O26" s="349">
        <v>0</v>
      </c>
      <c r="P26" s="349">
        <v>0</v>
      </c>
      <c r="Q26" s="341">
        <f>SUM(F26*0.5%)</f>
        <v>0</v>
      </c>
      <c r="R26" s="343">
        <f>SUM(G26*1%)</f>
        <v>0</v>
      </c>
      <c r="S26" s="345">
        <f>SUM(H26*1.25%)</f>
        <v>0</v>
      </c>
      <c r="T26" s="341">
        <f>SUM(I26*1.5%)</f>
        <v>0</v>
      </c>
      <c r="U26" s="341">
        <f>SUM(J26*0.5%)</f>
        <v>0</v>
      </c>
      <c r="V26" s="343">
        <f>SUM(K26*1%)</f>
        <v>0</v>
      </c>
      <c r="W26" s="345">
        <f>SUM(L26*1.25%)</f>
        <v>0</v>
      </c>
      <c r="X26" s="345">
        <f>SUM(M26*1.5%)</f>
        <v>0</v>
      </c>
      <c r="Y26" s="343">
        <f>SUM(N26*2%)</f>
        <v>0</v>
      </c>
      <c r="Z26" s="341">
        <f t="shared" ref="Z26" si="5">SUM(O26*0%)</f>
        <v>0</v>
      </c>
      <c r="AA26" s="343">
        <f>SUM(P26*3%)</f>
        <v>0</v>
      </c>
      <c r="AB26" s="345">
        <f>SUM(Q26:AA26)</f>
        <v>0</v>
      </c>
    </row>
    <row r="27" spans="1:28" ht="18" customHeight="1" x14ac:dyDescent="0.25">
      <c r="A27" s="284"/>
      <c r="B27" s="47" t="s">
        <v>137</v>
      </c>
      <c r="C27" s="352"/>
      <c r="D27" s="369"/>
      <c r="E27" s="348"/>
      <c r="F27" s="350"/>
      <c r="G27" s="350"/>
      <c r="H27" s="350"/>
      <c r="I27" s="350"/>
      <c r="J27" s="350"/>
      <c r="K27" s="350"/>
      <c r="L27" s="350"/>
      <c r="M27" s="350"/>
      <c r="N27" s="348"/>
      <c r="O27" s="350"/>
      <c r="P27" s="350"/>
      <c r="Q27" s="342"/>
      <c r="R27" s="344"/>
      <c r="S27" s="346"/>
      <c r="T27" s="342"/>
      <c r="U27" s="342"/>
      <c r="V27" s="344"/>
      <c r="W27" s="346"/>
      <c r="X27" s="346"/>
      <c r="Y27" s="344"/>
      <c r="Z27" s="342"/>
      <c r="AA27" s="344"/>
      <c r="AB27" s="346"/>
    </row>
    <row r="28" spans="1:28" ht="12.75" customHeight="1" x14ac:dyDescent="0.25">
      <c r="A28" s="283">
        <v>9</v>
      </c>
      <c r="B28" s="38" t="s">
        <v>34</v>
      </c>
      <c r="C28" s="351" t="s">
        <v>259</v>
      </c>
      <c r="D28" s="351" t="s">
        <v>382</v>
      </c>
      <c r="E28" s="347">
        <v>19</v>
      </c>
      <c r="F28" s="349">
        <v>0</v>
      </c>
      <c r="G28" s="349">
        <v>0</v>
      </c>
      <c r="H28" s="349">
        <v>0</v>
      </c>
      <c r="I28" s="349">
        <v>0</v>
      </c>
      <c r="J28" s="349">
        <v>0</v>
      </c>
      <c r="K28" s="349">
        <v>0</v>
      </c>
      <c r="L28" s="349">
        <v>0</v>
      </c>
      <c r="M28" s="349">
        <v>0</v>
      </c>
      <c r="N28" s="347">
        <v>0</v>
      </c>
      <c r="O28" s="349">
        <v>0</v>
      </c>
      <c r="P28" s="349">
        <v>0</v>
      </c>
      <c r="Q28" s="341">
        <v>0</v>
      </c>
      <c r="R28" s="343">
        <f>SUM(G28*1%)</f>
        <v>0</v>
      </c>
      <c r="S28" s="345">
        <f>SUM(H28*1.25%)</f>
        <v>0</v>
      </c>
      <c r="T28" s="341">
        <f>SUM(I28*1.5%)</f>
        <v>0</v>
      </c>
      <c r="U28" s="341">
        <f>SUM(J28*0.5%)</f>
        <v>0</v>
      </c>
      <c r="V28" s="343">
        <f>SUM(K28*1%)</f>
        <v>0</v>
      </c>
      <c r="W28" s="345">
        <f>SUM(L28*1.25%)</f>
        <v>0</v>
      </c>
      <c r="X28" s="345">
        <f>SUM(M28*1.5%)</f>
        <v>0</v>
      </c>
      <c r="Y28" s="343">
        <f>SUM(N28*2%)</f>
        <v>0</v>
      </c>
      <c r="Z28" s="341">
        <f t="shared" ref="Z28" si="6">SUM(O28*0%)</f>
        <v>0</v>
      </c>
      <c r="AA28" s="343">
        <f>SUM(P28*3%)</f>
        <v>0</v>
      </c>
      <c r="AB28" s="345">
        <f>SUM(Q28:AA28)</f>
        <v>0</v>
      </c>
    </row>
    <row r="29" spans="1:28" ht="13.5" customHeight="1" x14ac:dyDescent="0.25">
      <c r="A29" s="284"/>
      <c r="B29" s="39" t="s">
        <v>141</v>
      </c>
      <c r="C29" s="352"/>
      <c r="D29" s="369"/>
      <c r="E29" s="348"/>
      <c r="F29" s="350"/>
      <c r="G29" s="350"/>
      <c r="H29" s="350"/>
      <c r="I29" s="350"/>
      <c r="J29" s="350"/>
      <c r="K29" s="350"/>
      <c r="L29" s="350"/>
      <c r="M29" s="350"/>
      <c r="N29" s="348"/>
      <c r="O29" s="350"/>
      <c r="P29" s="350"/>
      <c r="Q29" s="342"/>
      <c r="R29" s="344"/>
      <c r="S29" s="346"/>
      <c r="T29" s="342"/>
      <c r="U29" s="342"/>
      <c r="V29" s="344"/>
      <c r="W29" s="346"/>
      <c r="X29" s="346"/>
      <c r="Y29" s="344"/>
      <c r="Z29" s="342"/>
      <c r="AA29" s="344"/>
      <c r="AB29" s="346"/>
    </row>
    <row r="30" spans="1:28" ht="18.75" customHeight="1" x14ac:dyDescent="0.25">
      <c r="A30" s="283">
        <v>10</v>
      </c>
      <c r="B30" s="38" t="s">
        <v>35</v>
      </c>
      <c r="C30" s="351" t="s">
        <v>261</v>
      </c>
      <c r="D30" s="367" t="s">
        <v>351</v>
      </c>
      <c r="E30" s="347">
        <v>19</v>
      </c>
      <c r="F30" s="349">
        <v>0</v>
      </c>
      <c r="G30" s="349">
        <v>1</v>
      </c>
      <c r="H30" s="349">
        <v>3</v>
      </c>
      <c r="I30" s="349">
        <v>0</v>
      </c>
      <c r="J30" s="349">
        <v>0</v>
      </c>
      <c r="K30" s="349">
        <v>0</v>
      </c>
      <c r="L30" s="349">
        <v>0</v>
      </c>
      <c r="M30" s="349">
        <v>2</v>
      </c>
      <c r="N30" s="347">
        <v>0</v>
      </c>
      <c r="O30" s="349">
        <v>0</v>
      </c>
      <c r="P30" s="349">
        <v>0</v>
      </c>
      <c r="Q30" s="341">
        <f>SUM(F30*0.5%)</f>
        <v>0</v>
      </c>
      <c r="R30" s="343">
        <f>SUM(G30*1%)</f>
        <v>0.01</v>
      </c>
      <c r="S30" s="345">
        <f>SUM(H30*1.25%)</f>
        <v>3.7500000000000006E-2</v>
      </c>
      <c r="T30" s="341">
        <f>SUM(I30*1.5%)</f>
        <v>0</v>
      </c>
      <c r="U30" s="341">
        <f>SUM(J30*0.5%)</f>
        <v>0</v>
      </c>
      <c r="V30" s="343">
        <f>SUM(K30*1%)</f>
        <v>0</v>
      </c>
      <c r="W30" s="345">
        <f>SUM(L30*1.25%)</f>
        <v>0</v>
      </c>
      <c r="X30" s="345">
        <f>SUM(M30*1.5%)</f>
        <v>0.03</v>
      </c>
      <c r="Y30" s="343">
        <f>SUM(N30*2%)</f>
        <v>0</v>
      </c>
      <c r="Z30" s="341">
        <f t="shared" ref="Z30" si="7">SUM(O30*0%)</f>
        <v>0</v>
      </c>
      <c r="AA30" s="343">
        <f>SUM(P30*3%)</f>
        <v>0</v>
      </c>
      <c r="AB30" s="345">
        <f>SUM(Q30:AA30)</f>
        <v>7.7500000000000013E-2</v>
      </c>
    </row>
    <row r="31" spans="1:28" ht="16.5" customHeight="1" x14ac:dyDescent="0.25">
      <c r="A31" s="284"/>
      <c r="B31" s="291" t="s">
        <v>142</v>
      </c>
      <c r="C31" s="352"/>
      <c r="D31" s="370"/>
      <c r="E31" s="348"/>
      <c r="F31" s="350"/>
      <c r="G31" s="350"/>
      <c r="H31" s="350"/>
      <c r="I31" s="350"/>
      <c r="J31" s="350"/>
      <c r="K31" s="350"/>
      <c r="L31" s="350"/>
      <c r="M31" s="350"/>
      <c r="N31" s="348"/>
      <c r="O31" s="350"/>
      <c r="P31" s="350"/>
      <c r="Q31" s="342"/>
      <c r="R31" s="344"/>
      <c r="S31" s="346"/>
      <c r="T31" s="342"/>
      <c r="U31" s="342"/>
      <c r="V31" s="344"/>
      <c r="W31" s="346"/>
      <c r="X31" s="346"/>
      <c r="Y31" s="344"/>
      <c r="Z31" s="342"/>
      <c r="AA31" s="344"/>
      <c r="AB31" s="346"/>
    </row>
    <row r="32" spans="1:28" ht="17.25" customHeight="1" x14ac:dyDescent="0.25">
      <c r="A32" s="283">
        <v>11</v>
      </c>
      <c r="B32" s="38" t="s">
        <v>79</v>
      </c>
      <c r="C32" s="351" t="s">
        <v>259</v>
      </c>
      <c r="D32" s="351" t="s">
        <v>382</v>
      </c>
      <c r="E32" s="347">
        <v>19</v>
      </c>
      <c r="F32" s="349">
        <v>0</v>
      </c>
      <c r="G32" s="349">
        <v>0</v>
      </c>
      <c r="H32" s="349">
        <v>0</v>
      </c>
      <c r="I32" s="349">
        <v>0</v>
      </c>
      <c r="J32" s="349">
        <v>0</v>
      </c>
      <c r="K32" s="349">
        <v>0</v>
      </c>
      <c r="L32" s="349">
        <v>0</v>
      </c>
      <c r="M32" s="349">
        <v>2</v>
      </c>
      <c r="N32" s="347">
        <v>0</v>
      </c>
      <c r="O32" s="349">
        <v>1</v>
      </c>
      <c r="P32" s="349">
        <v>0</v>
      </c>
      <c r="Q32" s="341">
        <f>SUM(F32*0.5%)</f>
        <v>0</v>
      </c>
      <c r="R32" s="343">
        <f>SUM(G32*1%)</f>
        <v>0</v>
      </c>
      <c r="S32" s="345">
        <f>SUM(H32*1.25%)</f>
        <v>0</v>
      </c>
      <c r="T32" s="341">
        <f>SUM(I32*1.5%)</f>
        <v>0</v>
      </c>
      <c r="U32" s="341">
        <f>SUM(J32*0.5%)</f>
        <v>0</v>
      </c>
      <c r="V32" s="343">
        <f>SUM(K32*1%)</f>
        <v>0</v>
      </c>
      <c r="W32" s="345">
        <f>SUM(L32*1.25%)</f>
        <v>0</v>
      </c>
      <c r="X32" s="345">
        <f>SUM(M32*1.5%)</f>
        <v>0.03</v>
      </c>
      <c r="Y32" s="343">
        <f>SUM(N32*2%)</f>
        <v>0</v>
      </c>
      <c r="Z32" s="341">
        <f t="shared" ref="Z32" si="8">SUM(O32*0%)</f>
        <v>0</v>
      </c>
      <c r="AA32" s="343">
        <f>SUM(P32*3%)</f>
        <v>0</v>
      </c>
      <c r="AB32" s="345">
        <f>SUM(Q32:AA32)</f>
        <v>0.03</v>
      </c>
    </row>
    <row r="33" spans="1:28" ht="13.5" customHeight="1" x14ac:dyDescent="0.25">
      <c r="A33" s="284"/>
      <c r="B33" s="39" t="s">
        <v>143</v>
      </c>
      <c r="C33" s="369"/>
      <c r="D33" s="369"/>
      <c r="E33" s="348"/>
      <c r="F33" s="350"/>
      <c r="G33" s="350"/>
      <c r="H33" s="350"/>
      <c r="I33" s="350"/>
      <c r="J33" s="350"/>
      <c r="K33" s="350"/>
      <c r="L33" s="350"/>
      <c r="M33" s="350"/>
      <c r="N33" s="348"/>
      <c r="O33" s="350"/>
      <c r="P33" s="350"/>
      <c r="Q33" s="342"/>
      <c r="R33" s="344"/>
      <c r="S33" s="346"/>
      <c r="T33" s="342"/>
      <c r="U33" s="342"/>
      <c r="V33" s="344"/>
      <c r="W33" s="346"/>
      <c r="X33" s="346"/>
      <c r="Y33" s="344"/>
      <c r="Z33" s="342"/>
      <c r="AA33" s="344"/>
      <c r="AB33" s="346"/>
    </row>
    <row r="34" spans="1:28" ht="18.75" customHeight="1" x14ac:dyDescent="0.25">
      <c r="A34" s="283">
        <v>12</v>
      </c>
      <c r="B34" s="44" t="s">
        <v>145</v>
      </c>
      <c r="C34" s="351" t="s">
        <v>261</v>
      </c>
      <c r="D34" s="367" t="s">
        <v>326</v>
      </c>
      <c r="E34" s="347">
        <v>19</v>
      </c>
      <c r="F34" s="349">
        <v>2</v>
      </c>
      <c r="G34" s="349">
        <v>1</v>
      </c>
      <c r="H34" s="349">
        <v>1</v>
      </c>
      <c r="I34" s="349">
        <v>0</v>
      </c>
      <c r="J34" s="349">
        <v>1</v>
      </c>
      <c r="K34" s="349">
        <v>0</v>
      </c>
      <c r="L34" s="349">
        <v>0</v>
      </c>
      <c r="M34" s="349">
        <v>1</v>
      </c>
      <c r="N34" s="347">
        <v>0</v>
      </c>
      <c r="O34" s="349">
        <v>0</v>
      </c>
      <c r="P34" s="349">
        <v>0</v>
      </c>
      <c r="Q34" s="341">
        <f>SUM(F34*0.5%)</f>
        <v>0.01</v>
      </c>
      <c r="R34" s="343">
        <f>SUM(G34*1%)</f>
        <v>0.01</v>
      </c>
      <c r="S34" s="345">
        <f>SUM(H34*1.25%)</f>
        <v>1.2500000000000001E-2</v>
      </c>
      <c r="T34" s="341">
        <f>SUM(I34*1.5%)</f>
        <v>0</v>
      </c>
      <c r="U34" s="341">
        <f>SUM(J34*0.5%)</f>
        <v>5.0000000000000001E-3</v>
      </c>
      <c r="V34" s="343">
        <f>SUM(K34*1%)</f>
        <v>0</v>
      </c>
      <c r="W34" s="345">
        <f>SUM(L34*1.25%)</f>
        <v>0</v>
      </c>
      <c r="X34" s="345">
        <f>SUM(M34*1.5%)</f>
        <v>1.4999999999999999E-2</v>
      </c>
      <c r="Y34" s="343">
        <f>SUM(N34*2%)</f>
        <v>0</v>
      </c>
      <c r="Z34" s="341">
        <f t="shared" ref="Z34" si="9">SUM(O34*0%)</f>
        <v>0</v>
      </c>
      <c r="AA34" s="343">
        <f>SUM(P34*3%)</f>
        <v>0</v>
      </c>
      <c r="AB34" s="345">
        <f>SUM(Q34:AA34)</f>
        <v>5.2499999999999998E-2</v>
      </c>
    </row>
    <row r="35" spans="1:28" ht="16.5" customHeight="1" x14ac:dyDescent="0.25">
      <c r="A35" s="284"/>
      <c r="B35" s="47" t="s">
        <v>144</v>
      </c>
      <c r="C35" s="352"/>
      <c r="D35" s="368"/>
      <c r="E35" s="348"/>
      <c r="F35" s="350"/>
      <c r="G35" s="350"/>
      <c r="H35" s="350"/>
      <c r="I35" s="350"/>
      <c r="J35" s="350"/>
      <c r="K35" s="350"/>
      <c r="L35" s="350"/>
      <c r="M35" s="350"/>
      <c r="N35" s="348"/>
      <c r="O35" s="350"/>
      <c r="P35" s="350"/>
      <c r="Q35" s="342"/>
      <c r="R35" s="344"/>
      <c r="S35" s="346"/>
      <c r="T35" s="342"/>
      <c r="U35" s="342"/>
      <c r="V35" s="344"/>
      <c r="W35" s="346"/>
      <c r="X35" s="346"/>
      <c r="Y35" s="344"/>
      <c r="Z35" s="342"/>
      <c r="AA35" s="344"/>
      <c r="AB35" s="346"/>
    </row>
    <row r="36" spans="1:28" ht="18" customHeight="1" x14ac:dyDescent="0.25">
      <c r="A36" s="283">
        <v>13</v>
      </c>
      <c r="B36" s="44" t="s">
        <v>147</v>
      </c>
      <c r="C36" s="351" t="s">
        <v>261</v>
      </c>
      <c r="D36" s="367" t="s">
        <v>327</v>
      </c>
      <c r="E36" s="347">
        <v>19</v>
      </c>
      <c r="F36" s="349">
        <v>0</v>
      </c>
      <c r="G36" s="349">
        <v>0</v>
      </c>
      <c r="H36" s="349">
        <v>0</v>
      </c>
      <c r="I36" s="349">
        <v>0</v>
      </c>
      <c r="J36" s="349">
        <v>0</v>
      </c>
      <c r="K36" s="349">
        <v>0</v>
      </c>
      <c r="L36" s="349">
        <v>0</v>
      </c>
      <c r="M36" s="349">
        <v>0</v>
      </c>
      <c r="N36" s="347">
        <v>0</v>
      </c>
      <c r="O36" s="349">
        <v>0</v>
      </c>
      <c r="P36" s="349">
        <v>19</v>
      </c>
      <c r="Q36" s="341">
        <f>SUM(F36*0.5%)</f>
        <v>0</v>
      </c>
      <c r="R36" s="343">
        <f>SUM(G36*1%)</f>
        <v>0</v>
      </c>
      <c r="S36" s="345">
        <f>SUM(H36*1.25%)</f>
        <v>0</v>
      </c>
      <c r="T36" s="341">
        <f>SUM(I36*1.5%)</f>
        <v>0</v>
      </c>
      <c r="U36" s="341">
        <f>SUM(J36*0.5%)</f>
        <v>0</v>
      </c>
      <c r="V36" s="343">
        <f>SUM(K36*1%)</f>
        <v>0</v>
      </c>
      <c r="W36" s="345">
        <f>SUM(L36*1.25%)</f>
        <v>0</v>
      </c>
      <c r="X36" s="345">
        <f>SUM(M36*1.5%)</f>
        <v>0</v>
      </c>
      <c r="Y36" s="343">
        <f>SUM(N36*2%)</f>
        <v>0</v>
      </c>
      <c r="Z36" s="341">
        <f t="shared" ref="Z36" si="10">SUM(O36*0%)</f>
        <v>0</v>
      </c>
      <c r="AA36" s="343">
        <f>SUM(P36*3%)</f>
        <v>0.56999999999999995</v>
      </c>
      <c r="AB36" s="345">
        <f>SUM(Q36:AA36)</f>
        <v>0.56999999999999995</v>
      </c>
    </row>
    <row r="37" spans="1:28" ht="19.5" customHeight="1" x14ac:dyDescent="0.25">
      <c r="A37" s="284"/>
      <c r="B37" s="47" t="s">
        <v>146</v>
      </c>
      <c r="C37" s="352"/>
      <c r="D37" s="368"/>
      <c r="E37" s="348"/>
      <c r="F37" s="350"/>
      <c r="G37" s="350"/>
      <c r="H37" s="350"/>
      <c r="I37" s="350"/>
      <c r="J37" s="350"/>
      <c r="K37" s="350"/>
      <c r="L37" s="350"/>
      <c r="M37" s="350"/>
      <c r="N37" s="348"/>
      <c r="O37" s="350"/>
      <c r="P37" s="350"/>
      <c r="Q37" s="342"/>
      <c r="R37" s="344"/>
      <c r="S37" s="346"/>
      <c r="T37" s="342"/>
      <c r="U37" s="342"/>
      <c r="V37" s="344"/>
      <c r="W37" s="346"/>
      <c r="X37" s="346"/>
      <c r="Y37" s="344"/>
      <c r="Z37" s="342"/>
      <c r="AA37" s="344"/>
      <c r="AB37" s="346"/>
    </row>
    <row r="38" spans="1:28" ht="15.75" customHeight="1" x14ac:dyDescent="0.25">
      <c r="A38" s="283">
        <v>14</v>
      </c>
      <c r="B38" s="44" t="s">
        <v>173</v>
      </c>
      <c r="C38" s="351" t="s">
        <v>261</v>
      </c>
      <c r="D38" s="371" t="s">
        <v>464</v>
      </c>
      <c r="E38" s="347">
        <v>19</v>
      </c>
      <c r="F38" s="349">
        <v>0</v>
      </c>
      <c r="G38" s="349">
        <v>0</v>
      </c>
      <c r="H38" s="349">
        <v>0</v>
      </c>
      <c r="I38" s="349">
        <v>0</v>
      </c>
      <c r="J38" s="349">
        <v>0</v>
      </c>
      <c r="K38" s="349">
        <v>0</v>
      </c>
      <c r="L38" s="349">
        <v>0</v>
      </c>
      <c r="M38" s="349">
        <v>2</v>
      </c>
      <c r="N38" s="347">
        <v>0</v>
      </c>
      <c r="O38" s="349">
        <v>0</v>
      </c>
      <c r="P38" s="349">
        <v>0</v>
      </c>
      <c r="Q38" s="341">
        <f>SUM(F38*0.5%)</f>
        <v>0</v>
      </c>
      <c r="R38" s="343">
        <f>SUM(G38*1%)</f>
        <v>0</v>
      </c>
      <c r="S38" s="345">
        <f>SUM(H38*1.25%)</f>
        <v>0</v>
      </c>
      <c r="T38" s="341">
        <f>SUM(I38*1.5%)</f>
        <v>0</v>
      </c>
      <c r="U38" s="341">
        <f>SUM(J38*0.5%)</f>
        <v>0</v>
      </c>
      <c r="V38" s="343">
        <f>SUM(K38*1%)</f>
        <v>0</v>
      </c>
      <c r="W38" s="345">
        <f>SUM(L38*1.25%)</f>
        <v>0</v>
      </c>
      <c r="X38" s="345">
        <f>SUM(M38*1.5%)</f>
        <v>0.03</v>
      </c>
      <c r="Y38" s="343">
        <f>SUM(N38*2%)</f>
        <v>0</v>
      </c>
      <c r="Z38" s="341">
        <f t="shared" ref="Z38" si="11">SUM(O38*0%)</f>
        <v>0</v>
      </c>
      <c r="AA38" s="343">
        <f>SUM(P38*3%)</f>
        <v>0</v>
      </c>
      <c r="AB38" s="345">
        <f>SUM(Q38:AA38)</f>
        <v>0.03</v>
      </c>
    </row>
    <row r="39" spans="1:28" ht="15" customHeight="1" x14ac:dyDescent="0.25">
      <c r="A39" s="284"/>
      <c r="B39" s="45" t="s">
        <v>172</v>
      </c>
      <c r="C39" s="352"/>
      <c r="D39" s="372"/>
      <c r="E39" s="348"/>
      <c r="F39" s="350"/>
      <c r="G39" s="350"/>
      <c r="H39" s="350"/>
      <c r="I39" s="350"/>
      <c r="J39" s="350"/>
      <c r="K39" s="350"/>
      <c r="L39" s="350"/>
      <c r="M39" s="350"/>
      <c r="N39" s="348"/>
      <c r="O39" s="350"/>
      <c r="P39" s="350"/>
      <c r="Q39" s="342"/>
      <c r="R39" s="344"/>
      <c r="S39" s="346"/>
      <c r="T39" s="342"/>
      <c r="U39" s="342"/>
      <c r="V39" s="344"/>
      <c r="W39" s="346"/>
      <c r="X39" s="346"/>
      <c r="Y39" s="344"/>
      <c r="Z39" s="342"/>
      <c r="AA39" s="344"/>
      <c r="AB39" s="346"/>
    </row>
    <row r="40" spans="1:28" ht="15" customHeight="1" x14ac:dyDescent="0.25">
      <c r="A40" s="283">
        <v>15</v>
      </c>
      <c r="B40" s="44" t="s">
        <v>48</v>
      </c>
      <c r="C40" s="351" t="s">
        <v>261</v>
      </c>
      <c r="D40" s="351" t="s">
        <v>279</v>
      </c>
      <c r="E40" s="347">
        <v>19</v>
      </c>
      <c r="F40" s="349">
        <v>0</v>
      </c>
      <c r="G40" s="349">
        <v>0</v>
      </c>
      <c r="H40" s="349">
        <v>1</v>
      </c>
      <c r="I40" s="349">
        <v>2</v>
      </c>
      <c r="J40" s="349">
        <v>0</v>
      </c>
      <c r="K40" s="349">
        <v>0</v>
      </c>
      <c r="L40" s="349">
        <v>0</v>
      </c>
      <c r="M40" s="349">
        <v>2</v>
      </c>
      <c r="N40" s="347">
        <v>0</v>
      </c>
      <c r="O40" s="349">
        <v>0</v>
      </c>
      <c r="P40" s="349">
        <v>1</v>
      </c>
      <c r="Q40" s="341">
        <f>SUM(F40*0.5%)</f>
        <v>0</v>
      </c>
      <c r="R40" s="343">
        <f>SUM(G40*1%)</f>
        <v>0</v>
      </c>
      <c r="S40" s="345">
        <f>SUM(H40*1.25%)</f>
        <v>1.2500000000000001E-2</v>
      </c>
      <c r="T40" s="341">
        <f>SUM(I40*1.5%)</f>
        <v>0.03</v>
      </c>
      <c r="U40" s="341">
        <f>SUM(J40*0.5%)</f>
        <v>0</v>
      </c>
      <c r="V40" s="343">
        <f>SUM(K40*1%)</f>
        <v>0</v>
      </c>
      <c r="W40" s="345">
        <f>SUM(L40*1.25%)</f>
        <v>0</v>
      </c>
      <c r="X40" s="345">
        <f>SUM(M40*1.5%)</f>
        <v>0.03</v>
      </c>
      <c r="Y40" s="343">
        <f>SUM(N40*2%)</f>
        <v>0</v>
      </c>
      <c r="Z40" s="341">
        <f t="shared" ref="Z40" si="12">SUM(O40*0%)</f>
        <v>0</v>
      </c>
      <c r="AA40" s="343">
        <f>SUM(P40*3%)</f>
        <v>0.03</v>
      </c>
      <c r="AB40" s="345">
        <f>SUM(Q40:AA40)</f>
        <v>0.10249999999999999</v>
      </c>
    </row>
    <row r="41" spans="1:28" ht="12" customHeight="1" x14ac:dyDescent="0.25">
      <c r="A41" s="284"/>
      <c r="B41" s="47" t="s">
        <v>148</v>
      </c>
      <c r="C41" s="352"/>
      <c r="D41" s="352"/>
      <c r="E41" s="348"/>
      <c r="F41" s="350"/>
      <c r="G41" s="350"/>
      <c r="H41" s="350"/>
      <c r="I41" s="350"/>
      <c r="J41" s="350"/>
      <c r="K41" s="350"/>
      <c r="L41" s="350"/>
      <c r="M41" s="350"/>
      <c r="N41" s="348"/>
      <c r="O41" s="350"/>
      <c r="P41" s="350"/>
      <c r="Q41" s="342"/>
      <c r="R41" s="344"/>
      <c r="S41" s="346"/>
      <c r="T41" s="342"/>
      <c r="U41" s="342"/>
      <c r="V41" s="344"/>
      <c r="W41" s="346"/>
      <c r="X41" s="346"/>
      <c r="Y41" s="344"/>
      <c r="Z41" s="342"/>
      <c r="AA41" s="344"/>
      <c r="AB41" s="346"/>
    </row>
    <row r="42" spans="1:28" ht="12.75" customHeight="1" x14ac:dyDescent="0.25">
      <c r="A42" s="283">
        <v>16</v>
      </c>
      <c r="B42" s="44" t="s">
        <v>168</v>
      </c>
      <c r="C42" s="351" t="s">
        <v>261</v>
      </c>
      <c r="D42" s="351" t="s">
        <v>280</v>
      </c>
      <c r="E42" s="347">
        <v>19</v>
      </c>
      <c r="F42" s="349">
        <v>0</v>
      </c>
      <c r="G42" s="349">
        <v>2</v>
      </c>
      <c r="H42" s="349">
        <v>0</v>
      </c>
      <c r="I42" s="349">
        <v>1</v>
      </c>
      <c r="J42" s="349">
        <v>0</v>
      </c>
      <c r="K42" s="349">
        <v>0</v>
      </c>
      <c r="L42" s="349">
        <v>0</v>
      </c>
      <c r="M42" s="349">
        <v>1</v>
      </c>
      <c r="N42" s="347">
        <v>0</v>
      </c>
      <c r="O42" s="349">
        <v>0</v>
      </c>
      <c r="P42" s="349">
        <v>0</v>
      </c>
      <c r="Q42" s="341">
        <f>SUM(F42*0.5%)</f>
        <v>0</v>
      </c>
      <c r="R42" s="343">
        <f>SUM(G42*1%)</f>
        <v>0.02</v>
      </c>
      <c r="S42" s="345">
        <f>SUM(H42*1.25%)</f>
        <v>0</v>
      </c>
      <c r="T42" s="341">
        <f>SUM(I42*1.5%)</f>
        <v>1.4999999999999999E-2</v>
      </c>
      <c r="U42" s="341">
        <f>SUM(J42*0.5%)</f>
        <v>0</v>
      </c>
      <c r="V42" s="343">
        <f>SUM(K42*1%)</f>
        <v>0</v>
      </c>
      <c r="W42" s="345">
        <f>SUM(L42*1.25%)</f>
        <v>0</v>
      </c>
      <c r="X42" s="345">
        <f>SUM(M42*1.5%)</f>
        <v>1.4999999999999999E-2</v>
      </c>
      <c r="Y42" s="343">
        <f>SUM(N42*2%)</f>
        <v>0</v>
      </c>
      <c r="Z42" s="341">
        <f t="shared" ref="Z42" si="13">SUM(O42*0%)</f>
        <v>0</v>
      </c>
      <c r="AA42" s="343">
        <f>SUM(P42*3%)</f>
        <v>0</v>
      </c>
      <c r="AB42" s="345">
        <f>SUM(Q42:AA42)</f>
        <v>0.05</v>
      </c>
    </row>
    <row r="43" spans="1:28" ht="12.75" customHeight="1" x14ac:dyDescent="0.25">
      <c r="A43" s="284"/>
      <c r="B43" s="47" t="s">
        <v>160</v>
      </c>
      <c r="C43" s="352"/>
      <c r="D43" s="352"/>
      <c r="E43" s="348"/>
      <c r="F43" s="350"/>
      <c r="G43" s="350"/>
      <c r="H43" s="350"/>
      <c r="I43" s="350"/>
      <c r="J43" s="350"/>
      <c r="K43" s="350"/>
      <c r="L43" s="350"/>
      <c r="M43" s="350"/>
      <c r="N43" s="348"/>
      <c r="O43" s="350"/>
      <c r="P43" s="350"/>
      <c r="Q43" s="342"/>
      <c r="R43" s="344"/>
      <c r="S43" s="346"/>
      <c r="T43" s="342"/>
      <c r="U43" s="342"/>
      <c r="V43" s="344"/>
      <c r="W43" s="346"/>
      <c r="X43" s="346"/>
      <c r="Y43" s="344"/>
      <c r="Z43" s="342"/>
      <c r="AA43" s="344"/>
      <c r="AB43" s="346"/>
    </row>
    <row r="44" spans="1:28" ht="16.5" customHeight="1" x14ac:dyDescent="0.25">
      <c r="A44" s="283">
        <v>17</v>
      </c>
      <c r="B44" s="44" t="s">
        <v>169</v>
      </c>
      <c r="C44" s="351" t="s">
        <v>260</v>
      </c>
      <c r="D44" s="351" t="s">
        <v>281</v>
      </c>
      <c r="E44" s="347">
        <v>19</v>
      </c>
      <c r="F44" s="349">
        <v>0</v>
      </c>
      <c r="G44" s="349">
        <v>0</v>
      </c>
      <c r="H44" s="349">
        <v>0</v>
      </c>
      <c r="I44" s="349">
        <v>0</v>
      </c>
      <c r="J44" s="349">
        <v>0</v>
      </c>
      <c r="K44" s="349">
        <v>0</v>
      </c>
      <c r="L44" s="349">
        <v>0</v>
      </c>
      <c r="M44" s="349">
        <v>3</v>
      </c>
      <c r="N44" s="347">
        <v>0</v>
      </c>
      <c r="O44" s="349">
        <v>0</v>
      </c>
      <c r="P44" s="349">
        <v>0</v>
      </c>
      <c r="Q44" s="341">
        <f>SUM(F44*0.5%)</f>
        <v>0</v>
      </c>
      <c r="R44" s="343">
        <f>SUM(G44*1%)</f>
        <v>0</v>
      </c>
      <c r="S44" s="345">
        <f>SUM(H44*1.25%)</f>
        <v>0</v>
      </c>
      <c r="T44" s="341">
        <f>SUM(I44*1.5%)</f>
        <v>0</v>
      </c>
      <c r="U44" s="341">
        <f>SUM(J44*0.5%)</f>
        <v>0</v>
      </c>
      <c r="V44" s="343">
        <f>SUM(K44*1%)</f>
        <v>0</v>
      </c>
      <c r="W44" s="345">
        <f>SUM(L44*1.25%)</f>
        <v>0</v>
      </c>
      <c r="X44" s="345">
        <f>SUM(M44*1.5%)</f>
        <v>4.4999999999999998E-2</v>
      </c>
      <c r="Y44" s="343">
        <f>SUM(N44*2%)</f>
        <v>0</v>
      </c>
      <c r="Z44" s="341">
        <f t="shared" ref="Z44" si="14">SUM(O44*0%)</f>
        <v>0</v>
      </c>
      <c r="AA44" s="343">
        <f>SUM(P44*3%)</f>
        <v>0</v>
      </c>
      <c r="AB44" s="345">
        <f>SUM(Q44:AA44)</f>
        <v>4.4999999999999998E-2</v>
      </c>
    </row>
    <row r="45" spans="1:28" ht="15" customHeight="1" x14ac:dyDescent="0.25">
      <c r="A45" s="284"/>
      <c r="B45" s="45" t="s">
        <v>161</v>
      </c>
      <c r="C45" s="352"/>
      <c r="D45" s="352"/>
      <c r="E45" s="348"/>
      <c r="F45" s="350"/>
      <c r="G45" s="350"/>
      <c r="H45" s="350"/>
      <c r="I45" s="350"/>
      <c r="J45" s="350"/>
      <c r="K45" s="350"/>
      <c r="L45" s="350"/>
      <c r="M45" s="350"/>
      <c r="N45" s="348"/>
      <c r="O45" s="350"/>
      <c r="P45" s="350"/>
      <c r="Q45" s="342"/>
      <c r="R45" s="344"/>
      <c r="S45" s="346"/>
      <c r="T45" s="342"/>
      <c r="U45" s="342"/>
      <c r="V45" s="344"/>
      <c r="W45" s="346"/>
      <c r="X45" s="346"/>
      <c r="Y45" s="344"/>
      <c r="Z45" s="342"/>
      <c r="AA45" s="344"/>
      <c r="AB45" s="346"/>
    </row>
    <row r="46" spans="1:28" ht="12.75" customHeight="1" x14ac:dyDescent="0.25">
      <c r="A46" s="283">
        <v>18</v>
      </c>
      <c r="B46" s="44" t="s">
        <v>53</v>
      </c>
      <c r="C46" s="351" t="s">
        <v>260</v>
      </c>
      <c r="D46" s="351" t="s">
        <v>462</v>
      </c>
      <c r="E46" s="347">
        <v>19</v>
      </c>
      <c r="F46" s="349">
        <v>1</v>
      </c>
      <c r="G46" s="349">
        <v>1</v>
      </c>
      <c r="H46" s="349">
        <v>0</v>
      </c>
      <c r="I46" s="349">
        <v>1</v>
      </c>
      <c r="J46" s="349">
        <v>0</v>
      </c>
      <c r="K46" s="349">
        <v>0</v>
      </c>
      <c r="L46" s="349">
        <v>0</v>
      </c>
      <c r="M46" s="349">
        <v>2</v>
      </c>
      <c r="N46" s="347">
        <v>0</v>
      </c>
      <c r="O46" s="349">
        <v>0</v>
      </c>
      <c r="P46" s="349">
        <v>0</v>
      </c>
      <c r="Q46" s="341">
        <f>SUM(F46*0.5%)</f>
        <v>5.0000000000000001E-3</v>
      </c>
      <c r="R46" s="343">
        <f>SUM(G46*1%)</f>
        <v>0.01</v>
      </c>
      <c r="S46" s="345">
        <f>SUM(H46*1.25%)</f>
        <v>0</v>
      </c>
      <c r="T46" s="341">
        <f>SUM(I46*1.5%)</f>
        <v>1.4999999999999999E-2</v>
      </c>
      <c r="U46" s="341">
        <f>SUM(J46*0.5%)</f>
        <v>0</v>
      </c>
      <c r="V46" s="343">
        <f>SUM(K46*1%)</f>
        <v>0</v>
      </c>
      <c r="W46" s="345">
        <f>SUM(L46*1.25%)</f>
        <v>0</v>
      </c>
      <c r="X46" s="345">
        <f>SUM(M46*1.5%)</f>
        <v>0.03</v>
      </c>
      <c r="Y46" s="343">
        <f>SUM(N46*2%)</f>
        <v>0</v>
      </c>
      <c r="Z46" s="341">
        <f t="shared" ref="Z46" si="15">SUM(O46*0%)</f>
        <v>0</v>
      </c>
      <c r="AA46" s="343">
        <f>SUM(P46*3%)</f>
        <v>0</v>
      </c>
      <c r="AB46" s="345">
        <f>SUM(Q46:AA46)</f>
        <v>0.06</v>
      </c>
    </row>
    <row r="47" spans="1:28" ht="15.75" customHeight="1" x14ac:dyDescent="0.25">
      <c r="A47" s="284"/>
      <c r="B47" s="45" t="s">
        <v>162</v>
      </c>
      <c r="C47" s="352"/>
      <c r="D47" s="352"/>
      <c r="E47" s="348"/>
      <c r="F47" s="350"/>
      <c r="G47" s="350"/>
      <c r="H47" s="350"/>
      <c r="I47" s="350"/>
      <c r="J47" s="350"/>
      <c r="K47" s="350"/>
      <c r="L47" s="350"/>
      <c r="M47" s="350"/>
      <c r="N47" s="348"/>
      <c r="O47" s="350"/>
      <c r="P47" s="350"/>
      <c r="Q47" s="342"/>
      <c r="R47" s="344"/>
      <c r="S47" s="346"/>
      <c r="T47" s="342"/>
      <c r="U47" s="342"/>
      <c r="V47" s="344"/>
      <c r="W47" s="346"/>
      <c r="X47" s="346"/>
      <c r="Y47" s="344"/>
      <c r="Z47" s="342"/>
      <c r="AA47" s="344"/>
      <c r="AB47" s="346"/>
    </row>
    <row r="48" spans="1:28" ht="14.25" customHeight="1" x14ac:dyDescent="0.25">
      <c r="A48" s="283">
        <v>19</v>
      </c>
      <c r="B48" s="44" t="s">
        <v>55</v>
      </c>
      <c r="C48" s="351" t="s">
        <v>260</v>
      </c>
      <c r="D48" s="351" t="s">
        <v>332</v>
      </c>
      <c r="E48" s="347">
        <v>19</v>
      </c>
      <c r="F48" s="349">
        <v>0</v>
      </c>
      <c r="G48" s="349">
        <v>1</v>
      </c>
      <c r="H48" s="349">
        <v>0</v>
      </c>
      <c r="I48" s="349">
        <v>1</v>
      </c>
      <c r="J48" s="349">
        <v>0</v>
      </c>
      <c r="K48" s="349">
        <v>0</v>
      </c>
      <c r="L48" s="349">
        <v>0</v>
      </c>
      <c r="M48" s="349">
        <v>7</v>
      </c>
      <c r="N48" s="347">
        <v>0</v>
      </c>
      <c r="O48" s="349">
        <v>0</v>
      </c>
      <c r="P48" s="349">
        <v>0</v>
      </c>
      <c r="Q48" s="341">
        <f>SUM(F48*0.5%)</f>
        <v>0</v>
      </c>
      <c r="R48" s="343">
        <f>SUM(G48*1%)</f>
        <v>0.01</v>
      </c>
      <c r="S48" s="345">
        <f>SUM(H48*1.25%)</f>
        <v>0</v>
      </c>
      <c r="T48" s="341">
        <f>SUM(I48*1.5%)</f>
        <v>1.4999999999999999E-2</v>
      </c>
      <c r="U48" s="341">
        <f>SUM(J48*0.5%)</f>
        <v>0</v>
      </c>
      <c r="V48" s="343">
        <f>SUM(K48*1%)</f>
        <v>0</v>
      </c>
      <c r="W48" s="345">
        <f>SUM(L48*1.25%)</f>
        <v>0</v>
      </c>
      <c r="X48" s="345">
        <f>SUM(M48*1.5%)</f>
        <v>0.105</v>
      </c>
      <c r="Y48" s="343">
        <f>SUM(N48*2%)</f>
        <v>0</v>
      </c>
      <c r="Z48" s="341">
        <f t="shared" ref="Z48" si="16">SUM(O48*0%)</f>
        <v>0</v>
      </c>
      <c r="AA48" s="343">
        <f>SUM(P48*3%)</f>
        <v>0</v>
      </c>
      <c r="AB48" s="345">
        <f>SUM(Q48:AA48)</f>
        <v>0.13</v>
      </c>
    </row>
    <row r="49" spans="1:28" ht="15" customHeight="1" x14ac:dyDescent="0.25">
      <c r="A49" s="284"/>
      <c r="B49" s="45" t="s">
        <v>171</v>
      </c>
      <c r="C49" s="352"/>
      <c r="D49" s="352"/>
      <c r="E49" s="348"/>
      <c r="F49" s="350"/>
      <c r="G49" s="350"/>
      <c r="H49" s="350"/>
      <c r="I49" s="350"/>
      <c r="J49" s="350"/>
      <c r="K49" s="350"/>
      <c r="L49" s="350"/>
      <c r="M49" s="350"/>
      <c r="N49" s="348"/>
      <c r="O49" s="350"/>
      <c r="P49" s="350"/>
      <c r="Q49" s="342"/>
      <c r="R49" s="344"/>
      <c r="S49" s="346"/>
      <c r="T49" s="342"/>
      <c r="U49" s="342"/>
      <c r="V49" s="344"/>
      <c r="W49" s="346"/>
      <c r="X49" s="346"/>
      <c r="Y49" s="344"/>
      <c r="Z49" s="342"/>
      <c r="AA49" s="344"/>
      <c r="AB49" s="346"/>
    </row>
    <row r="50" spans="1:28" ht="17.25" customHeight="1" x14ac:dyDescent="0.25">
      <c r="A50" s="283">
        <v>20</v>
      </c>
      <c r="B50" s="44" t="s">
        <v>60</v>
      </c>
      <c r="C50" s="351" t="s">
        <v>260</v>
      </c>
      <c r="D50" s="351" t="s">
        <v>282</v>
      </c>
      <c r="E50" s="347">
        <v>19</v>
      </c>
      <c r="F50" s="349">
        <v>0</v>
      </c>
      <c r="G50" s="349">
        <v>0</v>
      </c>
      <c r="H50" s="349">
        <v>0</v>
      </c>
      <c r="I50" s="349">
        <v>0</v>
      </c>
      <c r="J50" s="349">
        <v>0</v>
      </c>
      <c r="K50" s="349">
        <v>0</v>
      </c>
      <c r="L50" s="349">
        <v>0</v>
      </c>
      <c r="M50" s="349">
        <v>0</v>
      </c>
      <c r="N50" s="347">
        <v>0</v>
      </c>
      <c r="O50" s="349">
        <v>0</v>
      </c>
      <c r="P50" s="349">
        <v>0</v>
      </c>
      <c r="Q50" s="341">
        <f>SUM(F50*0.5%)</f>
        <v>0</v>
      </c>
      <c r="R50" s="343">
        <f>SUM(G50*1%)</f>
        <v>0</v>
      </c>
      <c r="S50" s="345">
        <f>SUM(H50*1.25%)</f>
        <v>0</v>
      </c>
      <c r="T50" s="341">
        <f>SUM(I50*1.5%)</f>
        <v>0</v>
      </c>
      <c r="U50" s="341">
        <f>SUM(J50*0.5%)</f>
        <v>0</v>
      </c>
      <c r="V50" s="343">
        <f>SUM(K50*1%)</f>
        <v>0</v>
      </c>
      <c r="W50" s="345">
        <f>SUM(L50*1.25%)</f>
        <v>0</v>
      </c>
      <c r="X50" s="345">
        <f>SUM(M50*1.5%)</f>
        <v>0</v>
      </c>
      <c r="Y50" s="343">
        <f>SUM(N50*2%)</f>
        <v>0</v>
      </c>
      <c r="Z50" s="341">
        <f t="shared" ref="Z50" si="17">SUM(O50*0%)</f>
        <v>0</v>
      </c>
      <c r="AA50" s="343">
        <f>SUM(P50*3%)</f>
        <v>0</v>
      </c>
      <c r="AB50" s="345">
        <f>SUM(Q50:AA50)</f>
        <v>0</v>
      </c>
    </row>
    <row r="51" spans="1:28" x14ac:dyDescent="0.25">
      <c r="A51" s="284"/>
      <c r="B51" s="47" t="s">
        <v>177</v>
      </c>
      <c r="C51" s="352"/>
      <c r="D51" s="352"/>
      <c r="E51" s="348"/>
      <c r="F51" s="350"/>
      <c r="G51" s="350"/>
      <c r="H51" s="350"/>
      <c r="I51" s="350"/>
      <c r="J51" s="350"/>
      <c r="K51" s="350"/>
      <c r="L51" s="350"/>
      <c r="M51" s="350"/>
      <c r="N51" s="348"/>
      <c r="O51" s="350"/>
      <c r="P51" s="350"/>
      <c r="Q51" s="342"/>
      <c r="R51" s="344"/>
      <c r="S51" s="346"/>
      <c r="T51" s="342"/>
      <c r="U51" s="342"/>
      <c r="V51" s="344"/>
      <c r="W51" s="346"/>
      <c r="X51" s="346"/>
      <c r="Y51" s="344"/>
      <c r="Z51" s="342"/>
      <c r="AA51" s="344"/>
      <c r="AB51" s="346"/>
    </row>
    <row r="52" spans="1:28" ht="18.75" customHeight="1" x14ac:dyDescent="0.25">
      <c r="A52" s="283">
        <v>21</v>
      </c>
      <c r="B52" s="44" t="s">
        <v>57</v>
      </c>
      <c r="C52" s="351" t="s">
        <v>261</v>
      </c>
      <c r="D52" s="351" t="s">
        <v>178</v>
      </c>
      <c r="E52" s="347">
        <v>19</v>
      </c>
      <c r="F52" s="349">
        <v>0</v>
      </c>
      <c r="G52" s="349">
        <v>0</v>
      </c>
      <c r="H52" s="349">
        <v>0</v>
      </c>
      <c r="I52" s="349">
        <v>0</v>
      </c>
      <c r="J52" s="349">
        <v>0</v>
      </c>
      <c r="K52" s="349">
        <v>0</v>
      </c>
      <c r="L52" s="349">
        <v>0</v>
      </c>
      <c r="M52" s="349">
        <v>0</v>
      </c>
      <c r="N52" s="347">
        <v>0</v>
      </c>
      <c r="O52" s="349">
        <v>0</v>
      </c>
      <c r="P52" s="349">
        <v>0</v>
      </c>
      <c r="Q52" s="341">
        <f>SUM(F52*0.5%)</f>
        <v>0</v>
      </c>
      <c r="R52" s="343">
        <f>SUM(G52*1%)</f>
        <v>0</v>
      </c>
      <c r="S52" s="345">
        <f>SUM(H52*1.25%)</f>
        <v>0</v>
      </c>
      <c r="T52" s="341">
        <f>SUM(I52*1.5%)</f>
        <v>0</v>
      </c>
      <c r="U52" s="341">
        <f>SUM(J52*0.5%)</f>
        <v>0</v>
      </c>
      <c r="V52" s="343">
        <f>SUM(K52*1%)</f>
        <v>0</v>
      </c>
      <c r="W52" s="345">
        <f>SUM(L52*1.25%)</f>
        <v>0</v>
      </c>
      <c r="X52" s="345">
        <f>SUM(M52*1.5%)</f>
        <v>0</v>
      </c>
      <c r="Y52" s="343">
        <f>SUM(N52*2%)</f>
        <v>0</v>
      </c>
      <c r="Z52" s="341">
        <f t="shared" ref="Z52" si="18">SUM(O52*0%)</f>
        <v>0</v>
      </c>
      <c r="AA52" s="343">
        <f>SUM(P52*3%)</f>
        <v>0</v>
      </c>
      <c r="AB52" s="345">
        <f>SUM(Q52:AA52)</f>
        <v>0</v>
      </c>
    </row>
    <row r="53" spans="1:28" ht="18.75" customHeight="1" x14ac:dyDescent="0.25">
      <c r="A53" s="284"/>
      <c r="B53" s="47" t="s">
        <v>176</v>
      </c>
      <c r="C53" s="352"/>
      <c r="D53" s="352"/>
      <c r="E53" s="348"/>
      <c r="F53" s="350"/>
      <c r="G53" s="350"/>
      <c r="H53" s="350"/>
      <c r="I53" s="350"/>
      <c r="J53" s="350"/>
      <c r="K53" s="350"/>
      <c r="L53" s="350"/>
      <c r="M53" s="350"/>
      <c r="N53" s="348"/>
      <c r="O53" s="350"/>
      <c r="P53" s="350"/>
      <c r="Q53" s="342"/>
      <c r="R53" s="344"/>
      <c r="S53" s="346"/>
      <c r="T53" s="342"/>
      <c r="U53" s="342"/>
      <c r="V53" s="344"/>
      <c r="W53" s="346"/>
      <c r="X53" s="346"/>
      <c r="Y53" s="344"/>
      <c r="Z53" s="342"/>
      <c r="AA53" s="344"/>
      <c r="AB53" s="346"/>
    </row>
    <row r="54" spans="1:28" ht="17.25" customHeight="1" x14ac:dyDescent="0.25">
      <c r="A54" s="283">
        <v>22</v>
      </c>
      <c r="B54" s="44" t="s">
        <v>62</v>
      </c>
      <c r="C54" s="351" t="s">
        <v>260</v>
      </c>
      <c r="D54" s="351" t="s">
        <v>283</v>
      </c>
      <c r="E54" s="347">
        <v>19</v>
      </c>
      <c r="F54" s="349">
        <v>1</v>
      </c>
      <c r="G54" s="349">
        <v>1</v>
      </c>
      <c r="H54" s="349">
        <v>0</v>
      </c>
      <c r="I54" s="349">
        <v>0</v>
      </c>
      <c r="J54" s="349">
        <v>0</v>
      </c>
      <c r="K54" s="349">
        <v>0</v>
      </c>
      <c r="L54" s="349">
        <v>0</v>
      </c>
      <c r="M54" s="349">
        <v>1</v>
      </c>
      <c r="N54" s="347">
        <v>0</v>
      </c>
      <c r="O54" s="349">
        <v>0</v>
      </c>
      <c r="P54" s="349">
        <v>0</v>
      </c>
      <c r="Q54" s="341">
        <f>SUM(F54*0.5%)</f>
        <v>5.0000000000000001E-3</v>
      </c>
      <c r="R54" s="343">
        <f>SUM(G54*1%)</f>
        <v>0.01</v>
      </c>
      <c r="S54" s="345">
        <f>SUM(H54*1.25%)</f>
        <v>0</v>
      </c>
      <c r="T54" s="341">
        <f>SUM(I54*1.5%)</f>
        <v>0</v>
      </c>
      <c r="U54" s="341">
        <f>SUM(J54*0.5%)</f>
        <v>0</v>
      </c>
      <c r="V54" s="343">
        <f>SUM(K54*1%)</f>
        <v>0</v>
      </c>
      <c r="W54" s="345">
        <f>SUM(L54*1.25%)</f>
        <v>0</v>
      </c>
      <c r="X54" s="345">
        <f>SUM(M54*1.5%)</f>
        <v>1.4999999999999999E-2</v>
      </c>
      <c r="Y54" s="343">
        <f>SUM(N54*2%)</f>
        <v>0</v>
      </c>
      <c r="Z54" s="341">
        <f t="shared" ref="Z54" si="19">SUM(O54*0%)</f>
        <v>0</v>
      </c>
      <c r="AA54" s="343">
        <f>SUM(P54*3%)</f>
        <v>0</v>
      </c>
      <c r="AB54" s="345">
        <f>SUM(Q54:AA54)</f>
        <v>0.03</v>
      </c>
    </row>
    <row r="55" spans="1:28" ht="12.75" customHeight="1" x14ac:dyDescent="0.25">
      <c r="A55" s="284"/>
      <c r="B55" s="45" t="s">
        <v>149</v>
      </c>
      <c r="C55" s="352"/>
      <c r="D55" s="352"/>
      <c r="E55" s="348"/>
      <c r="F55" s="350"/>
      <c r="G55" s="350"/>
      <c r="H55" s="350"/>
      <c r="I55" s="350"/>
      <c r="J55" s="350"/>
      <c r="K55" s="350"/>
      <c r="L55" s="350"/>
      <c r="M55" s="350"/>
      <c r="N55" s="348"/>
      <c r="O55" s="350"/>
      <c r="P55" s="350"/>
      <c r="Q55" s="342"/>
      <c r="R55" s="344"/>
      <c r="S55" s="346"/>
      <c r="T55" s="342"/>
      <c r="U55" s="342"/>
      <c r="V55" s="344"/>
      <c r="W55" s="346"/>
      <c r="X55" s="346"/>
      <c r="Y55" s="344"/>
      <c r="Z55" s="342"/>
      <c r="AA55" s="344"/>
      <c r="AB55" s="346"/>
    </row>
    <row r="56" spans="1:28" ht="17.25" customHeight="1" x14ac:dyDescent="0.25">
      <c r="A56" s="283">
        <v>23</v>
      </c>
      <c r="B56" s="44" t="s">
        <v>64</v>
      </c>
      <c r="C56" s="351" t="s">
        <v>263</v>
      </c>
      <c r="D56" s="351" t="s">
        <v>284</v>
      </c>
      <c r="E56" s="347">
        <v>19</v>
      </c>
      <c r="F56" s="349">
        <v>0</v>
      </c>
      <c r="G56" s="349">
        <v>0</v>
      </c>
      <c r="H56" s="349">
        <v>0</v>
      </c>
      <c r="I56" s="349">
        <v>2</v>
      </c>
      <c r="J56" s="349">
        <v>0</v>
      </c>
      <c r="K56" s="349">
        <v>0</v>
      </c>
      <c r="L56" s="349">
        <v>0</v>
      </c>
      <c r="M56" s="349">
        <v>2</v>
      </c>
      <c r="N56" s="347">
        <v>0</v>
      </c>
      <c r="O56" s="349">
        <v>0</v>
      </c>
      <c r="P56" s="349">
        <v>0</v>
      </c>
      <c r="Q56" s="341">
        <f>SUM(F56*0.5%)</f>
        <v>0</v>
      </c>
      <c r="R56" s="343">
        <f>SUM(G56*1%)</f>
        <v>0</v>
      </c>
      <c r="S56" s="345">
        <f>SUM(H56*1.25%)</f>
        <v>0</v>
      </c>
      <c r="T56" s="341">
        <f>SUM(I56*1.5%)</f>
        <v>0.03</v>
      </c>
      <c r="U56" s="341">
        <f>SUM(J56*0.5%)</f>
        <v>0</v>
      </c>
      <c r="V56" s="343">
        <f>SUM(K56*1%)</f>
        <v>0</v>
      </c>
      <c r="W56" s="345">
        <f>SUM(L56*1.25%)</f>
        <v>0</v>
      </c>
      <c r="X56" s="345">
        <f>SUM(M56*1.5%)</f>
        <v>0.03</v>
      </c>
      <c r="Y56" s="343">
        <f>SUM(N56*2%)</f>
        <v>0</v>
      </c>
      <c r="Z56" s="341">
        <f t="shared" ref="Z56" si="20">SUM(O56*0%)</f>
        <v>0</v>
      </c>
      <c r="AA56" s="343">
        <f>SUM(P56*3%)</f>
        <v>0</v>
      </c>
      <c r="AB56" s="345">
        <f>SUM(Q56:AA56)</f>
        <v>0.06</v>
      </c>
    </row>
    <row r="57" spans="1:28" x14ac:dyDescent="0.25">
      <c r="A57" s="284"/>
      <c r="B57" s="47" t="s">
        <v>167</v>
      </c>
      <c r="C57" s="352"/>
      <c r="D57" s="352"/>
      <c r="E57" s="348"/>
      <c r="F57" s="350"/>
      <c r="G57" s="350"/>
      <c r="H57" s="350"/>
      <c r="I57" s="350"/>
      <c r="J57" s="350"/>
      <c r="K57" s="350"/>
      <c r="L57" s="350"/>
      <c r="M57" s="350"/>
      <c r="N57" s="348"/>
      <c r="O57" s="350"/>
      <c r="P57" s="350"/>
      <c r="Q57" s="342"/>
      <c r="R57" s="344"/>
      <c r="S57" s="346"/>
      <c r="T57" s="342"/>
      <c r="U57" s="342"/>
      <c r="V57" s="344"/>
      <c r="W57" s="346"/>
      <c r="X57" s="346"/>
      <c r="Y57" s="344"/>
      <c r="Z57" s="342"/>
      <c r="AA57" s="344"/>
      <c r="AB57" s="346"/>
    </row>
    <row r="58" spans="1:28" ht="12.75" customHeight="1" x14ac:dyDescent="0.25">
      <c r="A58" s="283">
        <v>24</v>
      </c>
      <c r="B58" s="44" t="s">
        <v>66</v>
      </c>
      <c r="C58" s="351" t="s">
        <v>262</v>
      </c>
      <c r="D58" s="351" t="s">
        <v>285</v>
      </c>
      <c r="E58" s="347">
        <v>19</v>
      </c>
      <c r="F58" s="349">
        <v>0</v>
      </c>
      <c r="G58" s="349">
        <v>0</v>
      </c>
      <c r="H58" s="349">
        <v>0</v>
      </c>
      <c r="I58" s="349">
        <v>0</v>
      </c>
      <c r="J58" s="349">
        <v>0</v>
      </c>
      <c r="K58" s="349">
        <v>0</v>
      </c>
      <c r="L58" s="349">
        <v>0</v>
      </c>
      <c r="M58" s="349">
        <v>0</v>
      </c>
      <c r="N58" s="347">
        <v>0</v>
      </c>
      <c r="O58" s="349">
        <v>0</v>
      </c>
      <c r="P58" s="349">
        <v>0</v>
      </c>
      <c r="Q58" s="341">
        <f>SUM(F58*0.5%)</f>
        <v>0</v>
      </c>
      <c r="R58" s="343">
        <f>SUM(G58*1%)</f>
        <v>0</v>
      </c>
      <c r="S58" s="345">
        <f>SUM(H58*1.25%)</f>
        <v>0</v>
      </c>
      <c r="T58" s="341">
        <f>SUM(I58*1.5%)</f>
        <v>0</v>
      </c>
      <c r="U58" s="341">
        <f>SUM(J58*0.5%)</f>
        <v>0</v>
      </c>
      <c r="V58" s="343">
        <f>SUM(K58*1%)</f>
        <v>0</v>
      </c>
      <c r="W58" s="345">
        <f>SUM(L58*1.25%)</f>
        <v>0</v>
      </c>
      <c r="X58" s="345">
        <f>SUM(M58*1.5%)</f>
        <v>0</v>
      </c>
      <c r="Y58" s="343">
        <f>SUM(N58*2%)</f>
        <v>0</v>
      </c>
      <c r="Z58" s="341">
        <f t="shared" ref="Z58" si="21">SUM(O58*0%)</f>
        <v>0</v>
      </c>
      <c r="AA58" s="343">
        <f>SUM(P58*3%)</f>
        <v>0</v>
      </c>
      <c r="AB58" s="345">
        <f>SUM(Q58:AA58)</f>
        <v>0</v>
      </c>
    </row>
    <row r="59" spans="1:28" ht="14.25" customHeight="1" x14ac:dyDescent="0.25">
      <c r="A59" s="284"/>
      <c r="B59" s="45" t="s">
        <v>166</v>
      </c>
      <c r="C59" s="352"/>
      <c r="D59" s="352"/>
      <c r="E59" s="348"/>
      <c r="F59" s="350"/>
      <c r="G59" s="350"/>
      <c r="H59" s="350"/>
      <c r="I59" s="350"/>
      <c r="J59" s="350"/>
      <c r="K59" s="350"/>
      <c r="L59" s="350"/>
      <c r="M59" s="350"/>
      <c r="N59" s="348"/>
      <c r="O59" s="350"/>
      <c r="P59" s="350"/>
      <c r="Q59" s="342"/>
      <c r="R59" s="344"/>
      <c r="S59" s="346"/>
      <c r="T59" s="342"/>
      <c r="U59" s="342"/>
      <c r="V59" s="344"/>
      <c r="W59" s="346"/>
      <c r="X59" s="346"/>
      <c r="Y59" s="344"/>
      <c r="Z59" s="342"/>
      <c r="AA59" s="344"/>
      <c r="AB59" s="346"/>
    </row>
    <row r="60" spans="1:28" ht="18" customHeight="1" x14ac:dyDescent="0.25">
      <c r="A60" s="283">
        <v>25</v>
      </c>
      <c r="B60" s="44" t="s">
        <v>68</v>
      </c>
      <c r="C60" s="351" t="s">
        <v>260</v>
      </c>
      <c r="D60" s="371" t="s">
        <v>464</v>
      </c>
      <c r="E60" s="347">
        <v>19</v>
      </c>
      <c r="F60" s="349">
        <v>0</v>
      </c>
      <c r="G60" s="349">
        <v>0</v>
      </c>
      <c r="H60" s="349">
        <v>0</v>
      </c>
      <c r="I60" s="349">
        <v>0</v>
      </c>
      <c r="J60" s="349">
        <v>0</v>
      </c>
      <c r="K60" s="349">
        <v>0</v>
      </c>
      <c r="L60" s="349">
        <v>0</v>
      </c>
      <c r="M60" s="349">
        <v>0</v>
      </c>
      <c r="N60" s="347">
        <v>0</v>
      </c>
      <c r="O60" s="349">
        <v>0</v>
      </c>
      <c r="P60" s="349">
        <v>0</v>
      </c>
      <c r="Q60" s="341">
        <f>SUM(F60*0.5%)</f>
        <v>0</v>
      </c>
      <c r="R60" s="343">
        <f>SUM(G60*1%)</f>
        <v>0</v>
      </c>
      <c r="S60" s="345">
        <f>SUM(H60*1.25%)</f>
        <v>0</v>
      </c>
      <c r="T60" s="341">
        <f>SUM(I60*1.5%)</f>
        <v>0</v>
      </c>
      <c r="U60" s="341">
        <f>SUM(J60*0.5%)</f>
        <v>0</v>
      </c>
      <c r="V60" s="343">
        <f>SUM(K60*1%)</f>
        <v>0</v>
      </c>
      <c r="W60" s="345">
        <f>SUM(L60*1.25%)</f>
        <v>0</v>
      </c>
      <c r="X60" s="345">
        <f>SUM(M60*1.5%)</f>
        <v>0</v>
      </c>
      <c r="Y60" s="343">
        <f>SUM(N60*2%)</f>
        <v>0</v>
      </c>
      <c r="Z60" s="341">
        <f t="shared" ref="Z60" si="22">SUM(O60*0%)</f>
        <v>0</v>
      </c>
      <c r="AA60" s="343">
        <f>SUM(P60*3%)</f>
        <v>0</v>
      </c>
      <c r="AB60" s="345">
        <f>SUM(Q60:AA60)</f>
        <v>0</v>
      </c>
    </row>
    <row r="61" spans="1:28" ht="11.25" customHeight="1" x14ac:dyDescent="0.25">
      <c r="A61" s="284"/>
      <c r="B61" s="45" t="s">
        <v>165</v>
      </c>
      <c r="C61" s="352"/>
      <c r="D61" s="372"/>
      <c r="E61" s="348"/>
      <c r="F61" s="350"/>
      <c r="G61" s="350"/>
      <c r="H61" s="350"/>
      <c r="I61" s="350"/>
      <c r="J61" s="350"/>
      <c r="K61" s="350"/>
      <c r="L61" s="350"/>
      <c r="M61" s="350"/>
      <c r="N61" s="348"/>
      <c r="O61" s="350"/>
      <c r="P61" s="350"/>
      <c r="Q61" s="342"/>
      <c r="R61" s="344"/>
      <c r="S61" s="346"/>
      <c r="T61" s="342"/>
      <c r="U61" s="342"/>
      <c r="V61" s="344"/>
      <c r="W61" s="346"/>
      <c r="X61" s="346"/>
      <c r="Y61" s="344"/>
      <c r="Z61" s="342"/>
      <c r="AA61" s="344"/>
      <c r="AB61" s="346"/>
    </row>
    <row r="62" spans="1:28" ht="18" customHeight="1" x14ac:dyDescent="0.25">
      <c r="A62" s="283">
        <v>26</v>
      </c>
      <c r="B62" s="44" t="s">
        <v>70</v>
      </c>
      <c r="C62" s="351" t="s">
        <v>260</v>
      </c>
      <c r="D62" s="371" t="s">
        <v>464</v>
      </c>
      <c r="E62" s="347">
        <v>19</v>
      </c>
      <c r="F62" s="349">
        <v>0</v>
      </c>
      <c r="G62" s="349">
        <v>0</v>
      </c>
      <c r="H62" s="349">
        <v>0</v>
      </c>
      <c r="I62" s="349">
        <v>3</v>
      </c>
      <c r="J62" s="349">
        <v>0</v>
      </c>
      <c r="K62" s="349">
        <v>0</v>
      </c>
      <c r="L62" s="349">
        <v>0</v>
      </c>
      <c r="M62" s="349">
        <v>5</v>
      </c>
      <c r="N62" s="347">
        <v>0</v>
      </c>
      <c r="O62" s="349">
        <v>0</v>
      </c>
      <c r="P62" s="349">
        <v>0</v>
      </c>
      <c r="Q62" s="341">
        <f>SUM(F62*0.5%)</f>
        <v>0</v>
      </c>
      <c r="R62" s="343">
        <f>SUM(G62*1%)</f>
        <v>0</v>
      </c>
      <c r="S62" s="345">
        <f>SUM(H62*1.25%)</f>
        <v>0</v>
      </c>
      <c r="T62" s="341">
        <f>SUM(I62*1.5%)</f>
        <v>4.4999999999999998E-2</v>
      </c>
      <c r="U62" s="341">
        <f>SUM(J62*0.5%)</f>
        <v>0</v>
      </c>
      <c r="V62" s="343">
        <f>SUM(K62*1%)</f>
        <v>0</v>
      </c>
      <c r="W62" s="345">
        <f>SUM(L62*1.25%)</f>
        <v>0</v>
      </c>
      <c r="X62" s="345">
        <f>SUM(M62*1.5%)</f>
        <v>7.4999999999999997E-2</v>
      </c>
      <c r="Y62" s="343">
        <f>SUM(N62*2%)</f>
        <v>0</v>
      </c>
      <c r="Z62" s="341">
        <f t="shared" ref="Z62" si="23">SUM(O62*0%)</f>
        <v>0</v>
      </c>
      <c r="AA62" s="343">
        <f>SUM(P62*3%)</f>
        <v>0</v>
      </c>
      <c r="AB62" s="345">
        <f>SUM(Q62:AA62)</f>
        <v>0.12</v>
      </c>
    </row>
    <row r="63" spans="1:28" ht="15.75" customHeight="1" x14ac:dyDescent="0.25">
      <c r="A63" s="284"/>
      <c r="B63" s="47" t="s">
        <v>164</v>
      </c>
      <c r="C63" s="352"/>
      <c r="D63" s="372"/>
      <c r="E63" s="348"/>
      <c r="F63" s="350"/>
      <c r="G63" s="350"/>
      <c r="H63" s="350"/>
      <c r="I63" s="350"/>
      <c r="J63" s="350"/>
      <c r="K63" s="350"/>
      <c r="L63" s="350"/>
      <c r="M63" s="350"/>
      <c r="N63" s="348"/>
      <c r="O63" s="350"/>
      <c r="P63" s="350"/>
      <c r="Q63" s="342"/>
      <c r="R63" s="344"/>
      <c r="S63" s="346"/>
      <c r="T63" s="342"/>
      <c r="U63" s="342"/>
      <c r="V63" s="344"/>
      <c r="W63" s="346"/>
      <c r="X63" s="346"/>
      <c r="Y63" s="344"/>
      <c r="Z63" s="342"/>
      <c r="AA63" s="344"/>
      <c r="AB63" s="346"/>
    </row>
    <row r="64" spans="1:28" ht="18.75" customHeight="1" x14ac:dyDescent="0.25">
      <c r="A64" s="283">
        <v>27</v>
      </c>
      <c r="B64" s="44" t="s">
        <v>170</v>
      </c>
      <c r="C64" s="351" t="s">
        <v>263</v>
      </c>
      <c r="D64" s="371" t="s">
        <v>463</v>
      </c>
      <c r="E64" s="347">
        <v>19</v>
      </c>
      <c r="F64" s="349">
        <v>0</v>
      </c>
      <c r="G64" s="349">
        <v>0</v>
      </c>
      <c r="H64" s="349">
        <v>0</v>
      </c>
      <c r="I64" s="349">
        <v>0</v>
      </c>
      <c r="J64" s="349">
        <v>0</v>
      </c>
      <c r="K64" s="349">
        <v>0</v>
      </c>
      <c r="L64" s="349">
        <v>0</v>
      </c>
      <c r="M64" s="349">
        <v>1</v>
      </c>
      <c r="N64" s="347">
        <v>0</v>
      </c>
      <c r="O64" s="349">
        <v>0</v>
      </c>
      <c r="P64" s="349">
        <v>0</v>
      </c>
      <c r="Q64" s="341">
        <f>SUM(F64*0.5%)</f>
        <v>0</v>
      </c>
      <c r="R64" s="343">
        <f>SUM(G64*1%)</f>
        <v>0</v>
      </c>
      <c r="S64" s="345">
        <f>SUM(H64*1.25%)</f>
        <v>0</v>
      </c>
      <c r="T64" s="341">
        <f>SUM(I64*1.5%)</f>
        <v>0</v>
      </c>
      <c r="U64" s="341">
        <f>SUM(J64*0.5%)</f>
        <v>0</v>
      </c>
      <c r="V64" s="343">
        <f>SUM(K64*1%)</f>
        <v>0</v>
      </c>
      <c r="W64" s="345">
        <f>SUM(L64*1.25%)</f>
        <v>0</v>
      </c>
      <c r="X64" s="345">
        <f>SUM(M64*1.5%)</f>
        <v>1.4999999999999999E-2</v>
      </c>
      <c r="Y64" s="343">
        <f>SUM(N64*2%)</f>
        <v>0</v>
      </c>
      <c r="Z64" s="341">
        <f t="shared" ref="Z64" si="24">SUM(O64*0%)</f>
        <v>0</v>
      </c>
      <c r="AA64" s="343">
        <f>SUM(P64*3%)</f>
        <v>0</v>
      </c>
      <c r="AB64" s="345">
        <f>SUM(Q64:AA64)</f>
        <v>1.4999999999999999E-2</v>
      </c>
    </row>
    <row r="65" spans="1:28" ht="19.5" customHeight="1" x14ac:dyDescent="0.25">
      <c r="A65" s="284"/>
      <c r="B65" s="47" t="s">
        <v>163</v>
      </c>
      <c r="C65" s="352"/>
      <c r="D65" s="372"/>
      <c r="E65" s="348"/>
      <c r="F65" s="350"/>
      <c r="G65" s="350"/>
      <c r="H65" s="350"/>
      <c r="I65" s="350"/>
      <c r="J65" s="350"/>
      <c r="K65" s="350"/>
      <c r="L65" s="350"/>
      <c r="M65" s="350"/>
      <c r="N65" s="348"/>
      <c r="O65" s="350"/>
      <c r="P65" s="350"/>
      <c r="Q65" s="342"/>
      <c r="R65" s="344"/>
      <c r="S65" s="346"/>
      <c r="T65" s="342"/>
      <c r="U65" s="342"/>
      <c r="V65" s="344"/>
      <c r="W65" s="346"/>
      <c r="X65" s="346"/>
      <c r="Y65" s="344"/>
      <c r="Z65" s="342"/>
      <c r="AA65" s="344"/>
      <c r="AB65" s="346"/>
    </row>
    <row r="66" spans="1:28" ht="18.75" customHeight="1" x14ac:dyDescent="0.25">
      <c r="A66" s="283">
        <v>28</v>
      </c>
      <c r="B66" s="38" t="s">
        <v>76</v>
      </c>
      <c r="C66" s="351" t="s">
        <v>260</v>
      </c>
      <c r="D66" s="371" t="s">
        <v>463</v>
      </c>
      <c r="E66" s="347">
        <v>19</v>
      </c>
      <c r="F66" s="349">
        <v>0</v>
      </c>
      <c r="G66" s="349">
        <v>0</v>
      </c>
      <c r="H66" s="349">
        <v>0</v>
      </c>
      <c r="I66" s="349">
        <v>5</v>
      </c>
      <c r="J66" s="349">
        <v>0</v>
      </c>
      <c r="K66" s="349">
        <v>0</v>
      </c>
      <c r="L66" s="349">
        <v>0</v>
      </c>
      <c r="M66" s="349">
        <v>1</v>
      </c>
      <c r="N66" s="347">
        <v>0</v>
      </c>
      <c r="O66" s="349">
        <v>1</v>
      </c>
      <c r="P66" s="349">
        <v>0</v>
      </c>
      <c r="Q66" s="341">
        <f>SUM(F66*0.5%)</f>
        <v>0</v>
      </c>
      <c r="R66" s="343">
        <f>SUM(G66*1%)</f>
        <v>0</v>
      </c>
      <c r="S66" s="345">
        <f>SUM(H66*1.25%)</f>
        <v>0</v>
      </c>
      <c r="T66" s="341">
        <f>SUM(I66*1.5%)</f>
        <v>7.4999999999999997E-2</v>
      </c>
      <c r="U66" s="341">
        <f>SUM(J66*0.5%)</f>
        <v>0</v>
      </c>
      <c r="V66" s="343">
        <f>SUM(K66*1%)</f>
        <v>0</v>
      </c>
      <c r="W66" s="345">
        <f>SUM(L66*1.25%)</f>
        <v>0</v>
      </c>
      <c r="X66" s="345">
        <f>SUM(M66*1.5%)</f>
        <v>1.4999999999999999E-2</v>
      </c>
      <c r="Y66" s="343">
        <f>SUM(N66*2%)</f>
        <v>0</v>
      </c>
      <c r="Z66" s="341">
        <f t="shared" ref="Z66" si="25">SUM(O66*0%)</f>
        <v>0</v>
      </c>
      <c r="AA66" s="343">
        <f>SUM(P66*3%)</f>
        <v>0</v>
      </c>
      <c r="AB66" s="345">
        <f>SUM(Q66:AA66)</f>
        <v>0.09</v>
      </c>
    </row>
    <row r="67" spans="1:28" ht="15" customHeight="1" x14ac:dyDescent="0.25">
      <c r="A67" s="284"/>
      <c r="B67" s="291" t="s">
        <v>159</v>
      </c>
      <c r="C67" s="352"/>
      <c r="D67" s="372"/>
      <c r="E67" s="348"/>
      <c r="F67" s="350"/>
      <c r="G67" s="350"/>
      <c r="H67" s="350"/>
      <c r="I67" s="350"/>
      <c r="J67" s="350"/>
      <c r="K67" s="350"/>
      <c r="L67" s="350"/>
      <c r="M67" s="350"/>
      <c r="N67" s="348"/>
      <c r="O67" s="350"/>
      <c r="P67" s="350"/>
      <c r="Q67" s="342"/>
      <c r="R67" s="344"/>
      <c r="S67" s="346"/>
      <c r="T67" s="342"/>
      <c r="U67" s="342"/>
      <c r="V67" s="344"/>
      <c r="W67" s="346"/>
      <c r="X67" s="346"/>
      <c r="Y67" s="344"/>
      <c r="Z67" s="342"/>
      <c r="AA67" s="344"/>
      <c r="AB67" s="346"/>
    </row>
    <row r="68" spans="1:28" ht="12.75" customHeight="1" x14ac:dyDescent="0.25">
      <c r="A68" s="283">
        <v>29</v>
      </c>
      <c r="B68" s="38" t="s">
        <v>158</v>
      </c>
      <c r="C68" s="351" t="s">
        <v>259</v>
      </c>
      <c r="D68" s="371" t="s">
        <v>464</v>
      </c>
      <c r="E68" s="347">
        <v>19</v>
      </c>
      <c r="F68" s="349">
        <v>0</v>
      </c>
      <c r="G68" s="349">
        <v>0</v>
      </c>
      <c r="H68" s="349">
        <v>0</v>
      </c>
      <c r="I68" s="349">
        <v>0</v>
      </c>
      <c r="J68" s="349">
        <v>0</v>
      </c>
      <c r="K68" s="349">
        <v>0</v>
      </c>
      <c r="L68" s="349">
        <v>0</v>
      </c>
      <c r="M68" s="349">
        <v>0</v>
      </c>
      <c r="N68" s="347">
        <v>0</v>
      </c>
      <c r="O68" s="349">
        <v>0</v>
      </c>
      <c r="P68" s="349">
        <v>0</v>
      </c>
      <c r="Q68" s="341">
        <f>SUM(F68*0.5%)</f>
        <v>0</v>
      </c>
      <c r="R68" s="343">
        <f>SUM(G68*1%)</f>
        <v>0</v>
      </c>
      <c r="S68" s="345">
        <f>SUM(H68*1.25%)</f>
        <v>0</v>
      </c>
      <c r="T68" s="341">
        <f>SUM(I68*1.5%)</f>
        <v>0</v>
      </c>
      <c r="U68" s="341">
        <f>SUM(J68*0.5%)</f>
        <v>0</v>
      </c>
      <c r="V68" s="343">
        <f>SUM(K68*1%)</f>
        <v>0</v>
      </c>
      <c r="W68" s="345">
        <f>SUM(L68*1.25%)</f>
        <v>0</v>
      </c>
      <c r="X68" s="345">
        <f>SUM(M68*1.5%)</f>
        <v>0</v>
      </c>
      <c r="Y68" s="343">
        <f>SUM(N68*2%)</f>
        <v>0</v>
      </c>
      <c r="Z68" s="341">
        <f t="shared" ref="Z68" si="26">SUM(O68*0%)</f>
        <v>0</v>
      </c>
      <c r="AA68" s="343">
        <f>SUM(P68*3%)</f>
        <v>0</v>
      </c>
      <c r="AB68" s="345">
        <f>SUM(Q68:AA68)</f>
        <v>0</v>
      </c>
    </row>
    <row r="69" spans="1:28" ht="17.25" customHeight="1" x14ac:dyDescent="0.25">
      <c r="A69" s="284"/>
      <c r="B69" s="291" t="s">
        <v>157</v>
      </c>
      <c r="C69" s="352"/>
      <c r="D69" s="372"/>
      <c r="E69" s="348"/>
      <c r="F69" s="350"/>
      <c r="G69" s="350"/>
      <c r="H69" s="350"/>
      <c r="I69" s="350"/>
      <c r="J69" s="350"/>
      <c r="K69" s="350"/>
      <c r="L69" s="350"/>
      <c r="M69" s="350"/>
      <c r="N69" s="348"/>
      <c r="O69" s="350"/>
      <c r="P69" s="350"/>
      <c r="Q69" s="342"/>
      <c r="R69" s="344"/>
      <c r="S69" s="346"/>
      <c r="T69" s="342"/>
      <c r="U69" s="342"/>
      <c r="V69" s="344"/>
      <c r="W69" s="346"/>
      <c r="X69" s="346"/>
      <c r="Y69" s="344"/>
      <c r="Z69" s="342"/>
      <c r="AA69" s="344"/>
      <c r="AB69" s="346"/>
    </row>
    <row r="70" spans="1:28" ht="19.5" customHeight="1" x14ac:dyDescent="0.25">
      <c r="A70" s="283">
        <v>30</v>
      </c>
      <c r="B70" s="38" t="s">
        <v>156</v>
      </c>
      <c r="C70" s="351" t="s">
        <v>260</v>
      </c>
      <c r="D70" s="351" t="s">
        <v>293</v>
      </c>
      <c r="E70" s="347">
        <v>19</v>
      </c>
      <c r="F70" s="349">
        <v>0</v>
      </c>
      <c r="G70" s="349">
        <v>0</v>
      </c>
      <c r="H70" s="349">
        <v>0</v>
      </c>
      <c r="I70" s="349">
        <v>0</v>
      </c>
      <c r="J70" s="349">
        <v>0</v>
      </c>
      <c r="K70" s="349">
        <v>0</v>
      </c>
      <c r="L70" s="349">
        <v>0</v>
      </c>
      <c r="M70" s="349">
        <v>0</v>
      </c>
      <c r="N70" s="347">
        <v>0</v>
      </c>
      <c r="O70" s="349">
        <v>0</v>
      </c>
      <c r="P70" s="349">
        <v>3</v>
      </c>
      <c r="Q70" s="341">
        <f>SUM(F70*0.5%)</f>
        <v>0</v>
      </c>
      <c r="R70" s="343">
        <f>SUM(G70*1%)</f>
        <v>0</v>
      </c>
      <c r="S70" s="345">
        <f>SUM(H70*1.25%)</f>
        <v>0</v>
      </c>
      <c r="T70" s="341">
        <f>SUM(I70*1.5%)</f>
        <v>0</v>
      </c>
      <c r="U70" s="341">
        <f>SUM(J70*0.5%)</f>
        <v>0</v>
      </c>
      <c r="V70" s="343">
        <f>SUM(K70*1%)</f>
        <v>0</v>
      </c>
      <c r="W70" s="345">
        <f>SUM(L70*1.25%)</f>
        <v>0</v>
      </c>
      <c r="X70" s="345">
        <f>SUM(M70*1.5%)</f>
        <v>0</v>
      </c>
      <c r="Y70" s="343">
        <f>SUM(N70*2%)</f>
        <v>0</v>
      </c>
      <c r="Z70" s="341">
        <f t="shared" ref="Z70" si="27">SUM(O70*0%)</f>
        <v>0</v>
      </c>
      <c r="AA70" s="343">
        <f>SUM(P70*3%)</f>
        <v>0.09</v>
      </c>
      <c r="AB70" s="345">
        <f>SUM(Q70:AA70)</f>
        <v>0.09</v>
      </c>
    </row>
    <row r="71" spans="1:28" ht="16.5" customHeight="1" x14ac:dyDescent="0.25">
      <c r="A71" s="284"/>
      <c r="B71" s="291" t="s">
        <v>155</v>
      </c>
      <c r="C71" s="352"/>
      <c r="D71" s="352"/>
      <c r="E71" s="348"/>
      <c r="F71" s="350"/>
      <c r="G71" s="350"/>
      <c r="H71" s="350"/>
      <c r="I71" s="350"/>
      <c r="J71" s="350"/>
      <c r="K71" s="350"/>
      <c r="L71" s="350"/>
      <c r="M71" s="350"/>
      <c r="N71" s="348"/>
      <c r="O71" s="350"/>
      <c r="P71" s="350"/>
      <c r="Q71" s="342"/>
      <c r="R71" s="344"/>
      <c r="S71" s="346"/>
      <c r="T71" s="342"/>
      <c r="U71" s="342"/>
      <c r="V71" s="344"/>
      <c r="W71" s="346"/>
      <c r="X71" s="346"/>
      <c r="Y71" s="344"/>
      <c r="Z71" s="342"/>
      <c r="AA71" s="344"/>
      <c r="AB71" s="346"/>
    </row>
    <row r="72" spans="1:28" ht="13.5" customHeight="1" x14ac:dyDescent="0.25">
      <c r="A72" s="283">
        <v>31</v>
      </c>
      <c r="B72" s="38" t="s">
        <v>82</v>
      </c>
      <c r="C72" s="351" t="s">
        <v>262</v>
      </c>
      <c r="D72" s="351" t="s">
        <v>294</v>
      </c>
      <c r="E72" s="347">
        <v>19</v>
      </c>
      <c r="F72" s="349">
        <v>0</v>
      </c>
      <c r="G72" s="349">
        <v>0</v>
      </c>
      <c r="H72" s="349">
        <v>0</v>
      </c>
      <c r="I72" s="349">
        <v>0</v>
      </c>
      <c r="J72" s="349">
        <v>0</v>
      </c>
      <c r="K72" s="349">
        <v>0</v>
      </c>
      <c r="L72" s="349">
        <v>0</v>
      </c>
      <c r="M72" s="349">
        <v>0</v>
      </c>
      <c r="N72" s="347">
        <v>0</v>
      </c>
      <c r="O72" s="349">
        <v>0</v>
      </c>
      <c r="P72" s="349">
        <v>0</v>
      </c>
      <c r="Q72" s="341">
        <f>SUM(F72*0.5%)</f>
        <v>0</v>
      </c>
      <c r="R72" s="343">
        <f>SUM(G72*1%)</f>
        <v>0</v>
      </c>
      <c r="S72" s="345">
        <f>SUM(H72*1.25%)</f>
        <v>0</v>
      </c>
      <c r="T72" s="341">
        <f>SUM(I72*1.5%)</f>
        <v>0</v>
      </c>
      <c r="U72" s="341">
        <f>SUM(J72*0.5%)</f>
        <v>0</v>
      </c>
      <c r="V72" s="343">
        <f>SUM(K72*1%)</f>
        <v>0</v>
      </c>
      <c r="W72" s="345">
        <f>SUM(L72*1.25%)</f>
        <v>0</v>
      </c>
      <c r="X72" s="345">
        <f>SUM(M72*1.5%)</f>
        <v>0</v>
      </c>
      <c r="Y72" s="343">
        <f>SUM(N72*2%)</f>
        <v>0</v>
      </c>
      <c r="Z72" s="341">
        <f t="shared" ref="Z72" si="28">SUM(O72*0%)</f>
        <v>0</v>
      </c>
      <c r="AA72" s="343">
        <f>SUM(P72*3%)</f>
        <v>0</v>
      </c>
      <c r="AB72" s="345">
        <f>SUM(Q72:AA72)</f>
        <v>0</v>
      </c>
    </row>
    <row r="73" spans="1:28" ht="17.25" customHeight="1" x14ac:dyDescent="0.25">
      <c r="A73" s="284"/>
      <c r="B73" s="291" t="s">
        <v>154</v>
      </c>
      <c r="C73" s="352"/>
      <c r="D73" s="352"/>
      <c r="E73" s="348"/>
      <c r="F73" s="350"/>
      <c r="G73" s="350"/>
      <c r="H73" s="350"/>
      <c r="I73" s="350"/>
      <c r="J73" s="350"/>
      <c r="K73" s="350"/>
      <c r="L73" s="350"/>
      <c r="M73" s="350"/>
      <c r="N73" s="348"/>
      <c r="O73" s="350"/>
      <c r="P73" s="350"/>
      <c r="Q73" s="342"/>
      <c r="R73" s="344"/>
      <c r="S73" s="346"/>
      <c r="T73" s="342"/>
      <c r="U73" s="342"/>
      <c r="V73" s="344"/>
      <c r="W73" s="346"/>
      <c r="X73" s="346"/>
      <c r="Y73" s="344"/>
      <c r="Z73" s="342"/>
      <c r="AA73" s="344"/>
      <c r="AB73" s="346"/>
    </row>
    <row r="74" spans="1:28" ht="12.75" customHeight="1" x14ac:dyDescent="0.25">
      <c r="A74" s="283">
        <v>32</v>
      </c>
      <c r="B74" s="44" t="s">
        <v>152</v>
      </c>
      <c r="C74" s="351" t="s">
        <v>260</v>
      </c>
      <c r="D74" s="351" t="s">
        <v>462</v>
      </c>
      <c r="E74" s="347">
        <v>19</v>
      </c>
      <c r="F74" s="349">
        <v>0</v>
      </c>
      <c r="G74" s="349">
        <v>0</v>
      </c>
      <c r="H74" s="349">
        <v>0</v>
      </c>
      <c r="I74" s="349">
        <v>0</v>
      </c>
      <c r="J74" s="349">
        <v>0</v>
      </c>
      <c r="K74" s="349">
        <v>0</v>
      </c>
      <c r="L74" s="349">
        <v>0</v>
      </c>
      <c r="M74" s="349">
        <v>0</v>
      </c>
      <c r="N74" s="347">
        <v>0</v>
      </c>
      <c r="O74" s="349">
        <v>0</v>
      </c>
      <c r="P74" s="349">
        <v>0</v>
      </c>
      <c r="Q74" s="341">
        <f>SUM(F74*0.5%)</f>
        <v>0</v>
      </c>
      <c r="R74" s="343">
        <f>SUM(G74*1%)</f>
        <v>0</v>
      </c>
      <c r="S74" s="345">
        <f>SUM(H74*1.25%)</f>
        <v>0</v>
      </c>
      <c r="T74" s="341">
        <f>SUM(I74*1.5%)</f>
        <v>0</v>
      </c>
      <c r="U74" s="341">
        <f>SUM(J74*0.5%)</f>
        <v>0</v>
      </c>
      <c r="V74" s="343">
        <f>SUM(K74*1%)</f>
        <v>0</v>
      </c>
      <c r="W74" s="345">
        <f>SUM(L74*1.25%)</f>
        <v>0</v>
      </c>
      <c r="X74" s="345">
        <f>SUM(M74*1.5%)</f>
        <v>0</v>
      </c>
      <c r="Y74" s="343">
        <f>SUM(N74*2%)</f>
        <v>0</v>
      </c>
      <c r="Z74" s="341">
        <f t="shared" ref="Z74" si="29">SUM(O74*0%)</f>
        <v>0</v>
      </c>
      <c r="AA74" s="343">
        <f>SUM(P74*3%)</f>
        <v>0</v>
      </c>
      <c r="AB74" s="345">
        <f>SUM(Q74:AA74)</f>
        <v>0</v>
      </c>
    </row>
    <row r="75" spans="1:28" ht="14.25" customHeight="1" x14ac:dyDescent="0.25">
      <c r="A75" s="284"/>
      <c r="B75" s="45" t="s">
        <v>153</v>
      </c>
      <c r="C75" s="352"/>
      <c r="D75" s="352"/>
      <c r="E75" s="348"/>
      <c r="F75" s="350"/>
      <c r="G75" s="350"/>
      <c r="H75" s="350"/>
      <c r="I75" s="350"/>
      <c r="J75" s="350"/>
      <c r="K75" s="350"/>
      <c r="L75" s="350"/>
      <c r="M75" s="350"/>
      <c r="N75" s="348"/>
      <c r="O75" s="350"/>
      <c r="P75" s="350"/>
      <c r="Q75" s="342"/>
      <c r="R75" s="344"/>
      <c r="S75" s="346"/>
      <c r="T75" s="342"/>
      <c r="U75" s="342"/>
      <c r="V75" s="344"/>
      <c r="W75" s="346"/>
      <c r="X75" s="346"/>
      <c r="Y75" s="344"/>
      <c r="Z75" s="342"/>
      <c r="AA75" s="344"/>
      <c r="AB75" s="346"/>
    </row>
    <row r="76" spans="1:28" ht="15" customHeight="1" x14ac:dyDescent="0.25">
      <c r="A76" s="283">
        <v>33</v>
      </c>
      <c r="B76" s="42" t="s">
        <v>151</v>
      </c>
      <c r="C76" s="351" t="s">
        <v>260</v>
      </c>
      <c r="D76" s="351" t="s">
        <v>287</v>
      </c>
      <c r="E76" s="347">
        <v>19</v>
      </c>
      <c r="F76" s="349">
        <v>1</v>
      </c>
      <c r="G76" s="349">
        <v>0</v>
      </c>
      <c r="H76" s="349">
        <v>0</v>
      </c>
      <c r="I76" s="349">
        <v>0</v>
      </c>
      <c r="J76" s="349">
        <v>0</v>
      </c>
      <c r="K76" s="349">
        <v>0</v>
      </c>
      <c r="L76" s="349">
        <v>0</v>
      </c>
      <c r="M76" s="349">
        <v>0</v>
      </c>
      <c r="N76" s="347">
        <v>0</v>
      </c>
      <c r="O76" s="349">
        <v>0</v>
      </c>
      <c r="P76" s="349">
        <v>0</v>
      </c>
      <c r="Q76" s="341">
        <f>SUM(F76*0.5%)</f>
        <v>5.0000000000000001E-3</v>
      </c>
      <c r="R76" s="343">
        <f>SUM(G76*1%)</f>
        <v>0</v>
      </c>
      <c r="S76" s="345">
        <f>SUM(H76*1.25%)</f>
        <v>0</v>
      </c>
      <c r="T76" s="341">
        <f>SUM(I76*1.5%)</f>
        <v>0</v>
      </c>
      <c r="U76" s="341">
        <f>SUM(J76*0.5%)</f>
        <v>0</v>
      </c>
      <c r="V76" s="343">
        <f>SUM(K76*1%)</f>
        <v>0</v>
      </c>
      <c r="W76" s="345">
        <f>SUM(L76*1.25%)</f>
        <v>0</v>
      </c>
      <c r="X76" s="345">
        <f>SUM(M76*1.5%)</f>
        <v>0</v>
      </c>
      <c r="Y76" s="343">
        <f>SUM(N76*2%)</f>
        <v>0</v>
      </c>
      <c r="Z76" s="341">
        <f t="shared" ref="Z76" si="30">SUM(O76*0%)</f>
        <v>0</v>
      </c>
      <c r="AA76" s="343">
        <f>SUM(P76*3%)</f>
        <v>0</v>
      </c>
      <c r="AB76" s="345">
        <f>SUM(Q76:AA76)</f>
        <v>5.0000000000000001E-3</v>
      </c>
    </row>
    <row r="77" spans="1:28" ht="15" customHeight="1" x14ac:dyDescent="0.25">
      <c r="A77" s="284"/>
      <c r="B77" s="43" t="s">
        <v>150</v>
      </c>
      <c r="C77" s="352"/>
      <c r="D77" s="352"/>
      <c r="E77" s="348"/>
      <c r="F77" s="350"/>
      <c r="G77" s="350"/>
      <c r="H77" s="350"/>
      <c r="I77" s="350"/>
      <c r="J77" s="350"/>
      <c r="K77" s="350"/>
      <c r="L77" s="350"/>
      <c r="M77" s="350"/>
      <c r="N77" s="348"/>
      <c r="O77" s="350"/>
      <c r="P77" s="350"/>
      <c r="Q77" s="342"/>
      <c r="R77" s="344"/>
      <c r="S77" s="346"/>
      <c r="T77" s="342"/>
      <c r="U77" s="342"/>
      <c r="V77" s="344"/>
      <c r="W77" s="346"/>
      <c r="X77" s="346"/>
      <c r="Y77" s="344"/>
      <c r="Z77" s="342"/>
      <c r="AA77" s="344"/>
      <c r="AB77" s="346"/>
    </row>
    <row r="78" spans="1:28" ht="12.75" customHeight="1" x14ac:dyDescent="0.25">
      <c r="A78" s="283">
        <v>34</v>
      </c>
      <c r="B78" s="95" t="s">
        <v>132</v>
      </c>
      <c r="C78" s="351" t="s">
        <v>260</v>
      </c>
      <c r="D78" s="373" t="s">
        <v>288</v>
      </c>
      <c r="E78" s="347">
        <v>19</v>
      </c>
      <c r="F78" s="349">
        <v>0</v>
      </c>
      <c r="G78" s="349">
        <v>0</v>
      </c>
      <c r="H78" s="349">
        <v>0</v>
      </c>
      <c r="I78" s="349">
        <v>0</v>
      </c>
      <c r="J78" s="349">
        <v>0</v>
      </c>
      <c r="K78" s="349">
        <v>0</v>
      </c>
      <c r="L78" s="349">
        <v>0</v>
      </c>
      <c r="M78" s="349">
        <v>0</v>
      </c>
      <c r="N78" s="347">
        <v>0</v>
      </c>
      <c r="O78" s="349">
        <v>0</v>
      </c>
      <c r="P78" s="349">
        <v>0</v>
      </c>
      <c r="Q78" s="341">
        <f>SUM(F78*0.5%)</f>
        <v>0</v>
      </c>
      <c r="R78" s="343">
        <f>SUM(G78*1%)</f>
        <v>0</v>
      </c>
      <c r="S78" s="345">
        <f>SUM(H78*1.25%)</f>
        <v>0</v>
      </c>
      <c r="T78" s="341">
        <f>SUM(I78*1.5%)</f>
        <v>0</v>
      </c>
      <c r="U78" s="341">
        <f>SUM(J78*0.5%)</f>
        <v>0</v>
      </c>
      <c r="V78" s="343">
        <f>SUM(K78*1%)</f>
        <v>0</v>
      </c>
      <c r="W78" s="345">
        <f>SUM(L78*1.25%)</f>
        <v>0</v>
      </c>
      <c r="X78" s="345">
        <f>SUM(M78*1.5%)</f>
        <v>0</v>
      </c>
      <c r="Y78" s="343">
        <f>SUM(N78*2%)</f>
        <v>0</v>
      </c>
      <c r="Z78" s="341">
        <f t="shared" ref="Z78" si="31">SUM(O78*0%)</f>
        <v>0</v>
      </c>
      <c r="AA78" s="343">
        <f>SUM(P78*3%)</f>
        <v>0</v>
      </c>
      <c r="AB78" s="345">
        <f>SUM(Q78:AA78)</f>
        <v>0</v>
      </c>
    </row>
    <row r="79" spans="1:28" x14ac:dyDescent="0.25">
      <c r="A79" s="284"/>
      <c r="B79" s="292" t="s">
        <v>185</v>
      </c>
      <c r="C79" s="352"/>
      <c r="D79" s="374"/>
      <c r="E79" s="348"/>
      <c r="F79" s="350"/>
      <c r="G79" s="350"/>
      <c r="H79" s="350"/>
      <c r="I79" s="350"/>
      <c r="J79" s="350"/>
      <c r="K79" s="350"/>
      <c r="L79" s="350"/>
      <c r="M79" s="350"/>
      <c r="N79" s="348"/>
      <c r="O79" s="350"/>
      <c r="P79" s="350"/>
      <c r="Q79" s="342"/>
      <c r="R79" s="344"/>
      <c r="S79" s="346"/>
      <c r="T79" s="342"/>
      <c r="U79" s="342"/>
      <c r="V79" s="344"/>
      <c r="W79" s="346"/>
      <c r="X79" s="346"/>
      <c r="Y79" s="344"/>
      <c r="Z79" s="342"/>
      <c r="AA79" s="344"/>
      <c r="AB79" s="346"/>
    </row>
    <row r="80" spans="1:28" ht="12.75" customHeight="1" x14ac:dyDescent="0.25">
      <c r="A80" s="283">
        <v>35</v>
      </c>
      <c r="B80" s="293" t="s">
        <v>219</v>
      </c>
      <c r="C80" s="351" t="s">
        <v>457</v>
      </c>
      <c r="D80" s="371" t="s">
        <v>463</v>
      </c>
      <c r="E80" s="347">
        <v>19</v>
      </c>
      <c r="F80" s="349">
        <v>0</v>
      </c>
      <c r="G80" s="349">
        <v>0</v>
      </c>
      <c r="H80" s="349">
        <v>0</v>
      </c>
      <c r="I80" s="349">
        <v>0</v>
      </c>
      <c r="J80" s="349">
        <v>0</v>
      </c>
      <c r="K80" s="349">
        <v>0</v>
      </c>
      <c r="L80" s="349">
        <v>0</v>
      </c>
      <c r="M80" s="349">
        <v>0</v>
      </c>
      <c r="N80" s="347">
        <v>0</v>
      </c>
      <c r="O80" s="349">
        <v>0</v>
      </c>
      <c r="P80" s="349">
        <v>0</v>
      </c>
      <c r="Q80" s="341">
        <f>SUM(F80*0.5%)</f>
        <v>0</v>
      </c>
      <c r="R80" s="343">
        <f>SUM(G80*1%)</f>
        <v>0</v>
      </c>
      <c r="S80" s="345">
        <f>SUM(H80*1.25%)</f>
        <v>0</v>
      </c>
      <c r="T80" s="341">
        <f>SUM(I80*1.5%)</f>
        <v>0</v>
      </c>
      <c r="U80" s="341">
        <f>SUM(J80*0.5%)</f>
        <v>0</v>
      </c>
      <c r="V80" s="343">
        <f>SUM(K80*1%)</f>
        <v>0</v>
      </c>
      <c r="W80" s="345">
        <f>SUM(L80*1.25%)</f>
        <v>0</v>
      </c>
      <c r="X80" s="345">
        <f>SUM(M80*1.5%)</f>
        <v>0</v>
      </c>
      <c r="Y80" s="343">
        <f>SUM(N80*2%)</f>
        <v>0</v>
      </c>
      <c r="Z80" s="341">
        <f t="shared" ref="Z80" si="32">SUM(O80*0%)</f>
        <v>0</v>
      </c>
      <c r="AA80" s="343">
        <f>SUM(P80*3%)</f>
        <v>0</v>
      </c>
      <c r="AB80" s="345">
        <f>SUM(Q80:AA80)</f>
        <v>0</v>
      </c>
    </row>
    <row r="81" spans="1:29" x14ac:dyDescent="0.25">
      <c r="A81" s="284"/>
      <c r="B81" s="292" t="s">
        <v>220</v>
      </c>
      <c r="C81" s="352"/>
      <c r="D81" s="372"/>
      <c r="E81" s="348"/>
      <c r="F81" s="350"/>
      <c r="G81" s="350"/>
      <c r="H81" s="350"/>
      <c r="I81" s="350"/>
      <c r="J81" s="350"/>
      <c r="K81" s="350"/>
      <c r="L81" s="350"/>
      <c r="M81" s="350"/>
      <c r="N81" s="348"/>
      <c r="O81" s="350"/>
      <c r="P81" s="350"/>
      <c r="Q81" s="342"/>
      <c r="R81" s="344"/>
      <c r="S81" s="346"/>
      <c r="T81" s="342"/>
      <c r="U81" s="342"/>
      <c r="V81" s="344"/>
      <c r="W81" s="346"/>
      <c r="X81" s="346"/>
      <c r="Y81" s="344"/>
      <c r="Z81" s="342"/>
      <c r="AA81" s="344"/>
      <c r="AB81" s="346"/>
    </row>
    <row r="82" spans="1:29" ht="18" customHeight="1" x14ac:dyDescent="0.25">
      <c r="A82" s="283">
        <v>36</v>
      </c>
      <c r="B82" s="294" t="s">
        <v>221</v>
      </c>
      <c r="C82" s="351" t="s">
        <v>457</v>
      </c>
      <c r="D82" s="371" t="s">
        <v>463</v>
      </c>
      <c r="E82" s="347">
        <v>19</v>
      </c>
      <c r="F82" s="349">
        <v>0</v>
      </c>
      <c r="G82" s="349">
        <v>0</v>
      </c>
      <c r="H82" s="349">
        <v>0</v>
      </c>
      <c r="I82" s="349">
        <v>1</v>
      </c>
      <c r="J82" s="349">
        <v>0</v>
      </c>
      <c r="K82" s="349">
        <v>0</v>
      </c>
      <c r="L82" s="349">
        <v>0</v>
      </c>
      <c r="M82" s="349">
        <v>4</v>
      </c>
      <c r="N82" s="347">
        <v>0</v>
      </c>
      <c r="O82" s="349">
        <v>0</v>
      </c>
      <c r="P82" s="349">
        <v>1</v>
      </c>
      <c r="Q82" s="341">
        <f>SUM(F82*0.5%)</f>
        <v>0</v>
      </c>
      <c r="R82" s="343">
        <f>SUM(G82*1%)</f>
        <v>0</v>
      </c>
      <c r="S82" s="345">
        <f>SUM(H82*1.25%)</f>
        <v>0</v>
      </c>
      <c r="T82" s="341">
        <f>SUM(I82*1.5%)</f>
        <v>1.4999999999999999E-2</v>
      </c>
      <c r="U82" s="341">
        <f>SUM(J82*0.5%)</f>
        <v>0</v>
      </c>
      <c r="V82" s="343">
        <f>SUM(K82*1%)</f>
        <v>0</v>
      </c>
      <c r="W82" s="345">
        <f>SUM(L82*1.25%)</f>
        <v>0</v>
      </c>
      <c r="X82" s="345">
        <f>SUM(M82*1.5%)</f>
        <v>0.06</v>
      </c>
      <c r="Y82" s="343">
        <f>SUM(N82*2%)</f>
        <v>0</v>
      </c>
      <c r="Z82" s="341">
        <f t="shared" ref="Z82" si="33">SUM(O82*0%)</f>
        <v>0</v>
      </c>
      <c r="AA82" s="343">
        <f>SUM(P82*3%)</f>
        <v>0.03</v>
      </c>
      <c r="AB82" s="345">
        <f>SUM(Q82:AA82)</f>
        <v>0.105</v>
      </c>
    </row>
    <row r="83" spans="1:29" ht="15" customHeight="1" x14ac:dyDescent="0.25">
      <c r="A83" s="284"/>
      <c r="B83" s="292" t="s">
        <v>222</v>
      </c>
      <c r="C83" s="352"/>
      <c r="D83" s="372"/>
      <c r="E83" s="348"/>
      <c r="F83" s="350"/>
      <c r="G83" s="350"/>
      <c r="H83" s="350"/>
      <c r="I83" s="350"/>
      <c r="J83" s="350"/>
      <c r="K83" s="350"/>
      <c r="L83" s="350"/>
      <c r="M83" s="350"/>
      <c r="N83" s="348"/>
      <c r="O83" s="350"/>
      <c r="P83" s="350"/>
      <c r="Q83" s="342"/>
      <c r="R83" s="344"/>
      <c r="S83" s="346"/>
      <c r="T83" s="342"/>
      <c r="U83" s="342"/>
      <c r="V83" s="344"/>
      <c r="W83" s="346"/>
      <c r="X83" s="346"/>
      <c r="Y83" s="344"/>
      <c r="Z83" s="342"/>
      <c r="AA83" s="344"/>
      <c r="AB83" s="346"/>
    </row>
    <row r="84" spans="1:29" ht="12.75" customHeight="1" x14ac:dyDescent="0.25">
      <c r="A84" s="283">
        <v>37</v>
      </c>
      <c r="B84" s="293" t="s">
        <v>223</v>
      </c>
      <c r="C84" s="357" t="s">
        <v>328</v>
      </c>
      <c r="D84" s="351" t="s">
        <v>289</v>
      </c>
      <c r="E84" s="347">
        <v>19</v>
      </c>
      <c r="F84" s="349">
        <v>0</v>
      </c>
      <c r="G84" s="349">
        <v>0</v>
      </c>
      <c r="H84" s="349">
        <v>0</v>
      </c>
      <c r="I84" s="349">
        <v>0</v>
      </c>
      <c r="J84" s="349">
        <v>0</v>
      </c>
      <c r="K84" s="349">
        <v>0</v>
      </c>
      <c r="L84" s="349">
        <v>0</v>
      </c>
      <c r="M84" s="349">
        <v>0</v>
      </c>
      <c r="N84" s="347">
        <v>0</v>
      </c>
      <c r="O84" s="349">
        <v>0</v>
      </c>
      <c r="P84" s="349">
        <v>0</v>
      </c>
      <c r="Q84" s="341">
        <f>SUM(F84*0.5%)</f>
        <v>0</v>
      </c>
      <c r="R84" s="343">
        <f>SUM(G84*1%)</f>
        <v>0</v>
      </c>
      <c r="S84" s="345">
        <f>SUM(H84*1.25%)</f>
        <v>0</v>
      </c>
      <c r="T84" s="341">
        <f>SUM(I84*1.5%)</f>
        <v>0</v>
      </c>
      <c r="U84" s="341">
        <f>SUM(J84*0.5%)</f>
        <v>0</v>
      </c>
      <c r="V84" s="343">
        <f>SUM(K84*1%)</f>
        <v>0</v>
      </c>
      <c r="W84" s="345">
        <f>SUM(L84*1.25%)</f>
        <v>0</v>
      </c>
      <c r="X84" s="345">
        <f>SUM(M84*1.5%)</f>
        <v>0</v>
      </c>
      <c r="Y84" s="343">
        <f>SUM(N84*2%)</f>
        <v>0</v>
      </c>
      <c r="Z84" s="341">
        <f t="shared" ref="Z84" si="34">SUM(O84*0%)</f>
        <v>0</v>
      </c>
      <c r="AA84" s="343">
        <f>SUM(P84*3%)</f>
        <v>0</v>
      </c>
      <c r="AB84" s="345">
        <f>SUM(Q84:AA84)</f>
        <v>0</v>
      </c>
    </row>
    <row r="85" spans="1:29" ht="15" customHeight="1" x14ac:dyDescent="0.25">
      <c r="A85" s="284"/>
      <c r="B85" s="295" t="s">
        <v>224</v>
      </c>
      <c r="C85" s="358"/>
      <c r="D85" s="352"/>
      <c r="E85" s="348"/>
      <c r="F85" s="350"/>
      <c r="G85" s="350"/>
      <c r="H85" s="350"/>
      <c r="I85" s="350"/>
      <c r="J85" s="350"/>
      <c r="K85" s="350"/>
      <c r="L85" s="350"/>
      <c r="M85" s="350"/>
      <c r="N85" s="348"/>
      <c r="O85" s="350"/>
      <c r="P85" s="350"/>
      <c r="Q85" s="342"/>
      <c r="R85" s="344"/>
      <c r="S85" s="346"/>
      <c r="T85" s="342"/>
      <c r="U85" s="342"/>
      <c r="V85" s="344"/>
      <c r="W85" s="346"/>
      <c r="X85" s="346"/>
      <c r="Y85" s="344"/>
      <c r="Z85" s="342"/>
      <c r="AA85" s="344"/>
      <c r="AB85" s="346"/>
    </row>
    <row r="86" spans="1:29" ht="22.5" customHeight="1" x14ac:dyDescent="0.25">
      <c r="A86" s="283">
        <v>38</v>
      </c>
      <c r="B86" s="95" t="s">
        <v>225</v>
      </c>
      <c r="C86" s="351" t="s">
        <v>263</v>
      </c>
      <c r="D86" s="351" t="s">
        <v>290</v>
      </c>
      <c r="E86" s="347">
        <v>19</v>
      </c>
      <c r="F86" s="349">
        <v>2</v>
      </c>
      <c r="G86" s="349">
        <v>1</v>
      </c>
      <c r="H86" s="349">
        <v>0</v>
      </c>
      <c r="I86" s="349">
        <v>1</v>
      </c>
      <c r="J86" s="349">
        <v>0</v>
      </c>
      <c r="K86" s="349">
        <v>0</v>
      </c>
      <c r="L86" s="349">
        <v>0</v>
      </c>
      <c r="M86" s="349">
        <v>2</v>
      </c>
      <c r="N86" s="347">
        <v>0</v>
      </c>
      <c r="O86" s="349">
        <v>0</v>
      </c>
      <c r="P86" s="349">
        <v>0</v>
      </c>
      <c r="Q86" s="341">
        <f>SUM(F86*0.5%)</f>
        <v>0.01</v>
      </c>
      <c r="R86" s="343">
        <f>SUM(G86*1%)</f>
        <v>0.01</v>
      </c>
      <c r="S86" s="345">
        <f>SUM(H86*1.25%)</f>
        <v>0</v>
      </c>
      <c r="T86" s="341">
        <f>SUM(I86*1.5%)</f>
        <v>1.4999999999999999E-2</v>
      </c>
      <c r="U86" s="341">
        <f>SUM(J86*0.5%)</f>
        <v>0</v>
      </c>
      <c r="V86" s="343">
        <f>SUM(K86*1%)</f>
        <v>0</v>
      </c>
      <c r="W86" s="345">
        <f>SUM(L86*1.25%)</f>
        <v>0</v>
      </c>
      <c r="X86" s="345">
        <f>SUM(M86*1.5%)</f>
        <v>0.03</v>
      </c>
      <c r="Y86" s="343">
        <f>SUM(N86*2%)</f>
        <v>0</v>
      </c>
      <c r="Z86" s="341">
        <f t="shared" ref="Z86" si="35">SUM(O86*0%)</f>
        <v>0</v>
      </c>
      <c r="AA86" s="343">
        <f>SUM(P86*3%)</f>
        <v>0</v>
      </c>
      <c r="AB86" s="345">
        <f>SUM(Q86:AA86)</f>
        <v>6.5000000000000002E-2</v>
      </c>
    </row>
    <row r="87" spans="1:29" ht="15.75" customHeight="1" x14ac:dyDescent="0.25">
      <c r="A87" s="284"/>
      <c r="B87" s="292" t="s">
        <v>226</v>
      </c>
      <c r="C87" s="352"/>
      <c r="D87" s="352"/>
      <c r="E87" s="348"/>
      <c r="F87" s="350"/>
      <c r="G87" s="350"/>
      <c r="H87" s="350"/>
      <c r="I87" s="350"/>
      <c r="J87" s="350"/>
      <c r="K87" s="350"/>
      <c r="L87" s="350"/>
      <c r="M87" s="350"/>
      <c r="N87" s="348"/>
      <c r="O87" s="350"/>
      <c r="P87" s="350"/>
      <c r="Q87" s="342"/>
      <c r="R87" s="344"/>
      <c r="S87" s="346"/>
      <c r="T87" s="342"/>
      <c r="U87" s="342"/>
      <c r="V87" s="344"/>
      <c r="W87" s="346"/>
      <c r="X87" s="346"/>
      <c r="Y87" s="344"/>
      <c r="Z87" s="342"/>
      <c r="AA87" s="344"/>
      <c r="AB87" s="346"/>
    </row>
    <row r="88" spans="1:29" ht="18" customHeight="1" x14ac:dyDescent="0.25">
      <c r="A88" s="283">
        <v>39</v>
      </c>
      <c r="B88" s="295" t="s">
        <v>246</v>
      </c>
      <c r="C88" s="351" t="s">
        <v>261</v>
      </c>
      <c r="D88" s="351" t="s">
        <v>286</v>
      </c>
      <c r="E88" s="347">
        <v>19</v>
      </c>
      <c r="F88" s="349">
        <v>2</v>
      </c>
      <c r="G88" s="349">
        <v>0</v>
      </c>
      <c r="H88" s="349">
        <v>1</v>
      </c>
      <c r="I88" s="349">
        <v>0</v>
      </c>
      <c r="J88" s="349">
        <v>0</v>
      </c>
      <c r="K88" s="349">
        <v>0</v>
      </c>
      <c r="L88" s="349">
        <v>0</v>
      </c>
      <c r="M88" s="349">
        <v>2</v>
      </c>
      <c r="N88" s="347">
        <v>0</v>
      </c>
      <c r="O88" s="349">
        <v>0</v>
      </c>
      <c r="P88" s="349">
        <v>3</v>
      </c>
      <c r="Q88" s="341">
        <f>SUM(F88*0.5%)</f>
        <v>0.01</v>
      </c>
      <c r="R88" s="343">
        <f>SUM(G88*1%)</f>
        <v>0</v>
      </c>
      <c r="S88" s="345">
        <f>SUM(H88*1.25%)</f>
        <v>1.2500000000000001E-2</v>
      </c>
      <c r="T88" s="341">
        <f>SUM(I88*1.5%)</f>
        <v>0</v>
      </c>
      <c r="U88" s="341">
        <f>SUM(J88*0.5%)</f>
        <v>0</v>
      </c>
      <c r="V88" s="343">
        <f>SUM(K88*1%)</f>
        <v>0</v>
      </c>
      <c r="W88" s="345">
        <f>SUM(L88*1.25%)</f>
        <v>0</v>
      </c>
      <c r="X88" s="345">
        <f>SUM(M88*1.5%)</f>
        <v>0.03</v>
      </c>
      <c r="Y88" s="343">
        <f>SUM(N88*2%)</f>
        <v>0</v>
      </c>
      <c r="Z88" s="341">
        <f t="shared" ref="Z88" si="36">SUM(O88*0%)</f>
        <v>0</v>
      </c>
      <c r="AA88" s="343">
        <f>SUM(P88*3%)</f>
        <v>0.09</v>
      </c>
      <c r="AB88" s="345">
        <f>SUM(Q88:AA88)</f>
        <v>0.14249999999999999</v>
      </c>
    </row>
    <row r="89" spans="1:29" ht="18" customHeight="1" x14ac:dyDescent="0.25">
      <c r="A89" s="36"/>
      <c r="B89" s="99" t="s">
        <v>245</v>
      </c>
      <c r="C89" s="352"/>
      <c r="D89" s="352"/>
      <c r="E89" s="348"/>
      <c r="F89" s="350"/>
      <c r="G89" s="350"/>
      <c r="H89" s="350"/>
      <c r="I89" s="350"/>
      <c r="J89" s="350"/>
      <c r="K89" s="350"/>
      <c r="L89" s="350"/>
      <c r="M89" s="350"/>
      <c r="N89" s="348"/>
      <c r="O89" s="350"/>
      <c r="P89" s="350"/>
      <c r="Q89" s="342"/>
      <c r="R89" s="344"/>
      <c r="S89" s="346"/>
      <c r="T89" s="342"/>
      <c r="U89" s="342"/>
      <c r="V89" s="344"/>
      <c r="W89" s="346"/>
      <c r="X89" s="346"/>
      <c r="Y89" s="344"/>
      <c r="Z89" s="342"/>
      <c r="AA89" s="344"/>
      <c r="AB89" s="346"/>
    </row>
    <row r="90" spans="1:29" ht="18" customHeight="1" x14ac:dyDescent="0.25">
      <c r="A90" s="283">
        <v>40</v>
      </c>
      <c r="B90" s="95" t="s">
        <v>238</v>
      </c>
      <c r="C90" s="351" t="s">
        <v>261</v>
      </c>
      <c r="D90" s="351" t="s">
        <v>291</v>
      </c>
      <c r="E90" s="347">
        <v>19</v>
      </c>
      <c r="F90" s="349">
        <v>0</v>
      </c>
      <c r="G90" s="349">
        <v>0</v>
      </c>
      <c r="H90" s="349">
        <v>0</v>
      </c>
      <c r="I90" s="349">
        <v>0</v>
      </c>
      <c r="J90" s="349">
        <v>0</v>
      </c>
      <c r="K90" s="349">
        <v>0</v>
      </c>
      <c r="L90" s="349">
        <v>0</v>
      </c>
      <c r="M90" s="349">
        <v>0</v>
      </c>
      <c r="N90" s="347">
        <v>0</v>
      </c>
      <c r="O90" s="349">
        <v>1</v>
      </c>
      <c r="P90" s="349">
        <v>0</v>
      </c>
      <c r="Q90" s="341">
        <f>SUM(F90*0.5%)</f>
        <v>0</v>
      </c>
      <c r="R90" s="343">
        <f>SUM(G90*1%)</f>
        <v>0</v>
      </c>
      <c r="S90" s="345">
        <f>SUM(H90*1.25%)</f>
        <v>0</v>
      </c>
      <c r="T90" s="341">
        <f>SUM(I90*1.5%)</f>
        <v>0</v>
      </c>
      <c r="U90" s="341">
        <f>SUM(J90*0.5%)</f>
        <v>0</v>
      </c>
      <c r="V90" s="343">
        <f>SUM(K90*1%)</f>
        <v>0</v>
      </c>
      <c r="W90" s="345">
        <f>SUM(L90*1.25%)</f>
        <v>0</v>
      </c>
      <c r="X90" s="345">
        <f>SUM(M90*1.5%)</f>
        <v>0</v>
      </c>
      <c r="Y90" s="343">
        <f>SUM(N90*2%)</f>
        <v>0</v>
      </c>
      <c r="Z90" s="341">
        <f t="shared" ref="Z90" si="37">SUM(O90*0%)</f>
        <v>0</v>
      </c>
      <c r="AA90" s="343">
        <f>SUM(P90*3%)</f>
        <v>0</v>
      </c>
      <c r="AB90" s="345">
        <f>SUM(Q90:AA90)</f>
        <v>0</v>
      </c>
    </row>
    <row r="91" spans="1:29" ht="18" customHeight="1" x14ac:dyDescent="0.25">
      <c r="A91" s="284"/>
      <c r="B91" s="99" t="s">
        <v>239</v>
      </c>
      <c r="C91" s="352"/>
      <c r="D91" s="352"/>
      <c r="E91" s="348"/>
      <c r="F91" s="350"/>
      <c r="G91" s="350"/>
      <c r="H91" s="350"/>
      <c r="I91" s="350"/>
      <c r="J91" s="350"/>
      <c r="K91" s="350"/>
      <c r="L91" s="350"/>
      <c r="M91" s="350"/>
      <c r="N91" s="348"/>
      <c r="O91" s="350"/>
      <c r="P91" s="350"/>
      <c r="Q91" s="342"/>
      <c r="R91" s="344"/>
      <c r="S91" s="346"/>
      <c r="T91" s="342"/>
      <c r="U91" s="342"/>
      <c r="V91" s="344"/>
      <c r="W91" s="346"/>
      <c r="X91" s="346"/>
      <c r="Y91" s="344"/>
      <c r="Z91" s="342"/>
      <c r="AA91" s="344"/>
      <c r="AB91" s="346"/>
    </row>
    <row r="92" spans="1:29" ht="18" customHeight="1" x14ac:dyDescent="0.25">
      <c r="A92" s="134">
        <v>41</v>
      </c>
      <c r="B92" s="103" t="s">
        <v>241</v>
      </c>
      <c r="C92" s="357" t="s">
        <v>263</v>
      </c>
      <c r="D92" s="351" t="s">
        <v>292</v>
      </c>
      <c r="E92" s="347">
        <v>19</v>
      </c>
      <c r="F92" s="349">
        <v>0</v>
      </c>
      <c r="G92" s="349">
        <v>0</v>
      </c>
      <c r="H92" s="349">
        <v>0</v>
      </c>
      <c r="I92" s="349">
        <v>0</v>
      </c>
      <c r="J92" s="349">
        <v>0</v>
      </c>
      <c r="K92" s="349">
        <v>0</v>
      </c>
      <c r="L92" s="349">
        <v>0</v>
      </c>
      <c r="M92" s="349">
        <v>0</v>
      </c>
      <c r="N92" s="347">
        <v>0</v>
      </c>
      <c r="O92" s="349">
        <v>1</v>
      </c>
      <c r="P92" s="349">
        <v>0</v>
      </c>
      <c r="Q92" s="341">
        <f>SUM(F92*0.5%)</f>
        <v>0</v>
      </c>
      <c r="R92" s="343">
        <f>SUM(G92*1%)</f>
        <v>0</v>
      </c>
      <c r="S92" s="345">
        <f>SUM(H92*1.25%)</f>
        <v>0</v>
      </c>
      <c r="T92" s="341">
        <f>SUM(I92*1.5%)</f>
        <v>0</v>
      </c>
      <c r="U92" s="341">
        <f>SUM(J92*0.5%)</f>
        <v>0</v>
      </c>
      <c r="V92" s="343">
        <f>SUM(K92*1%)</f>
        <v>0</v>
      </c>
      <c r="W92" s="345">
        <f>SUM(L92*1.25%)</f>
        <v>0</v>
      </c>
      <c r="X92" s="345">
        <f>SUM(M92*1.5%)</f>
        <v>0</v>
      </c>
      <c r="Y92" s="343">
        <f>SUM(N92*2%)</f>
        <v>0</v>
      </c>
      <c r="Z92" s="341">
        <f t="shared" ref="Z92" si="38">SUM(O92*0%)</f>
        <v>0</v>
      </c>
      <c r="AA92" s="343">
        <f>SUM(P92*3%)</f>
        <v>0</v>
      </c>
      <c r="AB92" s="345">
        <f>SUM(Q92:AA92)</f>
        <v>0</v>
      </c>
    </row>
    <row r="93" spans="1:29" ht="15.75" customHeight="1" x14ac:dyDescent="0.25">
      <c r="A93" s="101"/>
      <c r="B93" s="32" t="s">
        <v>242</v>
      </c>
      <c r="C93" s="358"/>
      <c r="D93" s="352"/>
      <c r="E93" s="348"/>
      <c r="F93" s="350"/>
      <c r="G93" s="350"/>
      <c r="H93" s="350"/>
      <c r="I93" s="350"/>
      <c r="J93" s="350"/>
      <c r="K93" s="350"/>
      <c r="L93" s="350"/>
      <c r="M93" s="350"/>
      <c r="N93" s="348"/>
      <c r="O93" s="350"/>
      <c r="P93" s="350"/>
      <c r="Q93" s="342"/>
      <c r="R93" s="344"/>
      <c r="S93" s="346"/>
      <c r="T93" s="342"/>
      <c r="U93" s="342"/>
      <c r="V93" s="344"/>
      <c r="W93" s="346"/>
      <c r="X93" s="346"/>
      <c r="Y93" s="344"/>
      <c r="Z93" s="342"/>
      <c r="AA93" s="344"/>
      <c r="AB93" s="346"/>
    </row>
    <row r="94" spans="1:29" ht="15.75" customHeight="1" x14ac:dyDescent="0.25">
      <c r="A94" s="134">
        <v>42</v>
      </c>
      <c r="B94" s="190" t="s">
        <v>353</v>
      </c>
      <c r="C94" s="353" t="s">
        <v>365</v>
      </c>
      <c r="D94" s="351" t="s">
        <v>354</v>
      </c>
      <c r="E94" s="347">
        <v>19</v>
      </c>
      <c r="F94" s="349">
        <v>0</v>
      </c>
      <c r="G94" s="349">
        <v>0</v>
      </c>
      <c r="H94" s="349">
        <v>0</v>
      </c>
      <c r="I94" s="349">
        <v>0</v>
      </c>
      <c r="J94" s="349">
        <v>0</v>
      </c>
      <c r="K94" s="349">
        <v>0</v>
      </c>
      <c r="L94" s="349">
        <v>0</v>
      </c>
      <c r="M94" s="349">
        <v>0</v>
      </c>
      <c r="N94" s="347">
        <v>0</v>
      </c>
      <c r="O94" s="349">
        <v>0</v>
      </c>
      <c r="P94" s="349">
        <v>0</v>
      </c>
      <c r="Q94" s="341">
        <f>SUM(F94*0.5%)</f>
        <v>0</v>
      </c>
      <c r="R94" s="343">
        <f>SUM(G94*1%)</f>
        <v>0</v>
      </c>
      <c r="S94" s="345">
        <f>SUM(H94*1.25%)</f>
        <v>0</v>
      </c>
      <c r="T94" s="341">
        <f>SUM(I94*1.5%)</f>
        <v>0</v>
      </c>
      <c r="U94" s="341">
        <f>SUM(J94*0.5%)</f>
        <v>0</v>
      </c>
      <c r="V94" s="343">
        <f>SUM(K94*1%)</f>
        <v>0</v>
      </c>
      <c r="W94" s="345">
        <f>SUM(L94*1.25%)</f>
        <v>0</v>
      </c>
      <c r="X94" s="345">
        <f>SUM(M94*1.5%)</f>
        <v>0</v>
      </c>
      <c r="Y94" s="343">
        <f>SUM(N94*2%)</f>
        <v>0</v>
      </c>
      <c r="Z94" s="341">
        <f t="shared" ref="Z94" si="39">SUM(O94*0%)</f>
        <v>0</v>
      </c>
      <c r="AA94" s="343">
        <f>SUM(P94*3%)</f>
        <v>0</v>
      </c>
      <c r="AB94" s="345">
        <f>SUM(Q94:AA94)</f>
        <v>0</v>
      </c>
      <c r="AC94" s="244"/>
    </row>
    <row r="95" spans="1:29" ht="15.75" customHeight="1" x14ac:dyDescent="0.25">
      <c r="A95" s="101"/>
      <c r="B95" s="191" t="s">
        <v>426</v>
      </c>
      <c r="C95" s="354"/>
      <c r="D95" s="352"/>
      <c r="E95" s="348"/>
      <c r="F95" s="350"/>
      <c r="G95" s="350"/>
      <c r="H95" s="350"/>
      <c r="I95" s="350"/>
      <c r="J95" s="350"/>
      <c r="K95" s="350"/>
      <c r="L95" s="350"/>
      <c r="M95" s="350"/>
      <c r="N95" s="348"/>
      <c r="O95" s="350"/>
      <c r="P95" s="350"/>
      <c r="Q95" s="342"/>
      <c r="R95" s="344"/>
      <c r="S95" s="346"/>
      <c r="T95" s="342"/>
      <c r="U95" s="342"/>
      <c r="V95" s="344"/>
      <c r="W95" s="346"/>
      <c r="X95" s="346"/>
      <c r="Y95" s="344"/>
      <c r="Z95" s="342"/>
      <c r="AA95" s="344"/>
      <c r="AB95" s="346"/>
      <c r="AC95" s="244"/>
    </row>
    <row r="96" spans="1:29" ht="15.75" customHeight="1" x14ac:dyDescent="0.25">
      <c r="A96" s="134">
        <v>43</v>
      </c>
      <c r="B96" s="190" t="s">
        <v>355</v>
      </c>
      <c r="C96" s="353" t="s">
        <v>365</v>
      </c>
      <c r="D96" s="351" t="s">
        <v>354</v>
      </c>
      <c r="E96" s="347">
        <v>19</v>
      </c>
      <c r="F96" s="349">
        <v>0</v>
      </c>
      <c r="G96" s="349">
        <v>0</v>
      </c>
      <c r="H96" s="349">
        <v>0</v>
      </c>
      <c r="I96" s="349">
        <v>0</v>
      </c>
      <c r="J96" s="349">
        <v>0</v>
      </c>
      <c r="K96" s="349">
        <v>0</v>
      </c>
      <c r="L96" s="349">
        <v>0</v>
      </c>
      <c r="M96" s="349">
        <v>0</v>
      </c>
      <c r="N96" s="347">
        <v>0</v>
      </c>
      <c r="O96" s="349">
        <v>0</v>
      </c>
      <c r="P96" s="349">
        <v>0</v>
      </c>
      <c r="Q96" s="341">
        <f>SUM(F96*0.5%)</f>
        <v>0</v>
      </c>
      <c r="R96" s="343">
        <f>SUM(G96*1%)</f>
        <v>0</v>
      </c>
      <c r="S96" s="345">
        <f>SUM(H96*1.25%)</f>
        <v>0</v>
      </c>
      <c r="T96" s="341">
        <f>SUM(I96*1.5%)</f>
        <v>0</v>
      </c>
      <c r="U96" s="341">
        <f>SUM(J96*0.5%)</f>
        <v>0</v>
      </c>
      <c r="V96" s="343">
        <f>SUM(K96*1%)</f>
        <v>0</v>
      </c>
      <c r="W96" s="345">
        <f>SUM(L96*1.25%)</f>
        <v>0</v>
      </c>
      <c r="X96" s="345">
        <f>SUM(M96*1.5%)</f>
        <v>0</v>
      </c>
      <c r="Y96" s="343">
        <f>SUM(N96*2%)</f>
        <v>0</v>
      </c>
      <c r="Z96" s="341">
        <f t="shared" ref="Z96" si="40">SUM(O96*0%)</f>
        <v>0</v>
      </c>
      <c r="AA96" s="343">
        <f>SUM(P96*3%)</f>
        <v>0</v>
      </c>
      <c r="AB96" s="345">
        <f>SUM(Q96:AA96)</f>
        <v>0</v>
      </c>
      <c r="AC96" s="244"/>
    </row>
    <row r="97" spans="1:29" ht="15.75" customHeight="1" x14ac:dyDescent="0.25">
      <c r="A97" s="101"/>
      <c r="B97" s="191" t="s">
        <v>427</v>
      </c>
      <c r="C97" s="354"/>
      <c r="D97" s="352"/>
      <c r="E97" s="348"/>
      <c r="F97" s="350"/>
      <c r="G97" s="350"/>
      <c r="H97" s="350"/>
      <c r="I97" s="350"/>
      <c r="J97" s="350"/>
      <c r="K97" s="350"/>
      <c r="L97" s="350"/>
      <c r="M97" s="350"/>
      <c r="N97" s="348"/>
      <c r="O97" s="350"/>
      <c r="P97" s="350"/>
      <c r="Q97" s="342"/>
      <c r="R97" s="344"/>
      <c r="S97" s="346"/>
      <c r="T97" s="342"/>
      <c r="U97" s="342"/>
      <c r="V97" s="344"/>
      <c r="W97" s="346"/>
      <c r="X97" s="346"/>
      <c r="Y97" s="344"/>
      <c r="Z97" s="342"/>
      <c r="AA97" s="344"/>
      <c r="AB97" s="346"/>
      <c r="AC97" s="244"/>
    </row>
    <row r="98" spans="1:29" ht="15.75" customHeight="1" x14ac:dyDescent="0.25">
      <c r="A98" s="134">
        <v>44</v>
      </c>
      <c r="B98" s="190" t="s">
        <v>356</v>
      </c>
      <c r="C98" s="353" t="s">
        <v>365</v>
      </c>
      <c r="D98" s="351" t="s">
        <v>354</v>
      </c>
      <c r="E98" s="347">
        <v>19</v>
      </c>
      <c r="F98" s="349">
        <v>0</v>
      </c>
      <c r="G98" s="349">
        <v>0</v>
      </c>
      <c r="H98" s="349">
        <v>0</v>
      </c>
      <c r="I98" s="349">
        <v>0</v>
      </c>
      <c r="J98" s="349">
        <v>0</v>
      </c>
      <c r="K98" s="349">
        <v>0</v>
      </c>
      <c r="L98" s="349">
        <v>0</v>
      </c>
      <c r="M98" s="349">
        <v>0</v>
      </c>
      <c r="N98" s="347">
        <v>0</v>
      </c>
      <c r="O98" s="349">
        <v>0</v>
      </c>
      <c r="P98" s="349">
        <v>0</v>
      </c>
      <c r="Q98" s="341">
        <f>SUM(F98*0.5%)</f>
        <v>0</v>
      </c>
      <c r="R98" s="343">
        <f>SUM(G98*1%)</f>
        <v>0</v>
      </c>
      <c r="S98" s="345">
        <f>SUM(H98*1.25%)</f>
        <v>0</v>
      </c>
      <c r="T98" s="341">
        <f>SUM(I98*1.5%)</f>
        <v>0</v>
      </c>
      <c r="U98" s="341">
        <f>SUM(J98*0.5%)</f>
        <v>0</v>
      </c>
      <c r="V98" s="343">
        <f>SUM(K98*1%)</f>
        <v>0</v>
      </c>
      <c r="W98" s="345">
        <f>SUM(L98*1.25%)</f>
        <v>0</v>
      </c>
      <c r="X98" s="345">
        <f>SUM(M98*1.5%)</f>
        <v>0</v>
      </c>
      <c r="Y98" s="343">
        <f>SUM(N98*2%)</f>
        <v>0</v>
      </c>
      <c r="Z98" s="341">
        <f t="shared" ref="Z98" si="41">SUM(O98*0%)</f>
        <v>0</v>
      </c>
      <c r="AA98" s="343">
        <f>SUM(P98*3%)</f>
        <v>0</v>
      </c>
      <c r="AB98" s="345">
        <f>SUM(Q98:AA98)</f>
        <v>0</v>
      </c>
      <c r="AC98" s="244"/>
    </row>
    <row r="99" spans="1:29" ht="15.75" customHeight="1" x14ac:dyDescent="0.25">
      <c r="A99" s="101"/>
      <c r="B99" s="191" t="s">
        <v>428</v>
      </c>
      <c r="C99" s="354"/>
      <c r="D99" s="352"/>
      <c r="E99" s="348"/>
      <c r="F99" s="350"/>
      <c r="G99" s="350"/>
      <c r="H99" s="350"/>
      <c r="I99" s="350"/>
      <c r="J99" s="350"/>
      <c r="K99" s="350"/>
      <c r="L99" s="350"/>
      <c r="M99" s="350"/>
      <c r="N99" s="348"/>
      <c r="O99" s="350"/>
      <c r="P99" s="350"/>
      <c r="Q99" s="342"/>
      <c r="R99" s="344"/>
      <c r="S99" s="346"/>
      <c r="T99" s="342"/>
      <c r="U99" s="342"/>
      <c r="V99" s="344"/>
      <c r="W99" s="346"/>
      <c r="X99" s="346"/>
      <c r="Y99" s="344"/>
      <c r="Z99" s="342"/>
      <c r="AA99" s="344"/>
      <c r="AB99" s="346"/>
      <c r="AC99" s="244"/>
    </row>
    <row r="100" spans="1:29" ht="15.75" customHeight="1" x14ac:dyDescent="0.25">
      <c r="A100" s="281">
        <v>45</v>
      </c>
      <c r="B100" s="190" t="s">
        <v>357</v>
      </c>
      <c r="C100" s="353" t="s">
        <v>365</v>
      </c>
      <c r="D100" s="351" t="s">
        <v>354</v>
      </c>
      <c r="E100" s="347">
        <v>19</v>
      </c>
      <c r="F100" s="349">
        <v>0</v>
      </c>
      <c r="G100" s="349">
        <v>0</v>
      </c>
      <c r="H100" s="349">
        <v>0</v>
      </c>
      <c r="I100" s="349">
        <v>0</v>
      </c>
      <c r="J100" s="349">
        <v>0</v>
      </c>
      <c r="K100" s="349">
        <v>0</v>
      </c>
      <c r="L100" s="349">
        <v>0</v>
      </c>
      <c r="M100" s="349">
        <v>0</v>
      </c>
      <c r="N100" s="347">
        <v>0</v>
      </c>
      <c r="O100" s="349">
        <v>0</v>
      </c>
      <c r="P100" s="349">
        <v>0</v>
      </c>
      <c r="Q100" s="341">
        <f>SUM(F100*0.5%)</f>
        <v>0</v>
      </c>
      <c r="R100" s="343">
        <f>SUM(G100*1%)</f>
        <v>0</v>
      </c>
      <c r="S100" s="345">
        <f>SUM(H100*1.25%)</f>
        <v>0</v>
      </c>
      <c r="T100" s="341">
        <f>SUM(I100*1.5%)</f>
        <v>0</v>
      </c>
      <c r="U100" s="341">
        <f>SUM(J100*0.5%)</f>
        <v>0</v>
      </c>
      <c r="V100" s="343">
        <f>SUM(K100*1%)</f>
        <v>0</v>
      </c>
      <c r="W100" s="345">
        <f>SUM(L100*1.25%)</f>
        <v>0</v>
      </c>
      <c r="X100" s="345">
        <f>SUM(M100*1.5%)</f>
        <v>0</v>
      </c>
      <c r="Y100" s="343">
        <f>SUM(N100*2%)</f>
        <v>0</v>
      </c>
      <c r="Z100" s="341">
        <f t="shared" ref="Z100" si="42">SUM(O100*0%)</f>
        <v>0</v>
      </c>
      <c r="AA100" s="343">
        <f>SUM(P100*3%)</f>
        <v>0</v>
      </c>
      <c r="AB100" s="345">
        <f>SUM(Q100:AA100)</f>
        <v>0</v>
      </c>
      <c r="AC100" s="244"/>
    </row>
    <row r="101" spans="1:29" ht="15.75" customHeight="1" x14ac:dyDescent="0.25">
      <c r="A101" s="281"/>
      <c r="B101" s="191" t="s">
        <v>429</v>
      </c>
      <c r="C101" s="354"/>
      <c r="D101" s="352"/>
      <c r="E101" s="348"/>
      <c r="F101" s="350"/>
      <c r="G101" s="350"/>
      <c r="H101" s="350"/>
      <c r="I101" s="350"/>
      <c r="J101" s="350"/>
      <c r="K101" s="350"/>
      <c r="L101" s="350"/>
      <c r="M101" s="350"/>
      <c r="N101" s="348"/>
      <c r="O101" s="350"/>
      <c r="P101" s="350"/>
      <c r="Q101" s="342"/>
      <c r="R101" s="344"/>
      <c r="S101" s="346"/>
      <c r="T101" s="342"/>
      <c r="U101" s="342"/>
      <c r="V101" s="344"/>
      <c r="W101" s="346"/>
      <c r="X101" s="346"/>
      <c r="Y101" s="344"/>
      <c r="Z101" s="342"/>
      <c r="AA101" s="344"/>
      <c r="AB101" s="346"/>
      <c r="AC101" s="244"/>
    </row>
    <row r="102" spans="1:29" ht="15.75" customHeight="1" x14ac:dyDescent="0.25">
      <c r="A102" s="134">
        <v>46</v>
      </c>
      <c r="B102" s="190" t="s">
        <v>363</v>
      </c>
      <c r="C102" s="353" t="s">
        <v>365</v>
      </c>
      <c r="D102" s="351" t="s">
        <v>354</v>
      </c>
      <c r="E102" s="347">
        <v>19</v>
      </c>
      <c r="F102" s="349">
        <v>0</v>
      </c>
      <c r="G102" s="349">
        <v>0</v>
      </c>
      <c r="H102" s="349">
        <v>0</v>
      </c>
      <c r="I102" s="349">
        <v>0</v>
      </c>
      <c r="J102" s="349">
        <v>0</v>
      </c>
      <c r="K102" s="349">
        <v>0</v>
      </c>
      <c r="L102" s="349">
        <v>0</v>
      </c>
      <c r="M102" s="349">
        <v>0</v>
      </c>
      <c r="N102" s="347">
        <v>0</v>
      </c>
      <c r="O102" s="349">
        <v>0</v>
      </c>
      <c r="P102" s="349">
        <v>0</v>
      </c>
      <c r="Q102" s="341">
        <f>SUM(F102*0.5%)</f>
        <v>0</v>
      </c>
      <c r="R102" s="343">
        <f>SUM(G102*1%)</f>
        <v>0</v>
      </c>
      <c r="S102" s="345">
        <f>SUM(H102*1.25%)</f>
        <v>0</v>
      </c>
      <c r="T102" s="341">
        <f>SUM(I102*1.5%)</f>
        <v>0</v>
      </c>
      <c r="U102" s="341">
        <f>SUM(J102*0.5%)</f>
        <v>0</v>
      </c>
      <c r="V102" s="343">
        <f>SUM(K102*1%)</f>
        <v>0</v>
      </c>
      <c r="W102" s="345">
        <f>SUM(L102*1.25%)</f>
        <v>0</v>
      </c>
      <c r="X102" s="345">
        <f>SUM(M102*1.5%)</f>
        <v>0</v>
      </c>
      <c r="Y102" s="343">
        <f>SUM(N102*2%)</f>
        <v>0</v>
      </c>
      <c r="Z102" s="341">
        <f t="shared" ref="Z102" si="43">SUM(O102*0%)</f>
        <v>0</v>
      </c>
      <c r="AA102" s="343">
        <f>SUM(P102*3%)</f>
        <v>0</v>
      </c>
      <c r="AB102" s="345">
        <f>SUM(Q102:AA102)</f>
        <v>0</v>
      </c>
      <c r="AC102" s="244"/>
    </row>
    <row r="103" spans="1:29" ht="15.75" customHeight="1" x14ac:dyDescent="0.25">
      <c r="A103" s="281"/>
      <c r="B103" s="191" t="s">
        <v>430</v>
      </c>
      <c r="C103" s="354"/>
      <c r="D103" s="352"/>
      <c r="E103" s="348"/>
      <c r="F103" s="350"/>
      <c r="G103" s="350"/>
      <c r="H103" s="350"/>
      <c r="I103" s="350"/>
      <c r="J103" s="350"/>
      <c r="K103" s="350"/>
      <c r="L103" s="350"/>
      <c r="M103" s="350"/>
      <c r="N103" s="348"/>
      <c r="O103" s="350"/>
      <c r="P103" s="350"/>
      <c r="Q103" s="342"/>
      <c r="R103" s="344"/>
      <c r="S103" s="346"/>
      <c r="T103" s="342"/>
      <c r="U103" s="342"/>
      <c r="V103" s="344"/>
      <c r="W103" s="346"/>
      <c r="X103" s="346"/>
      <c r="Y103" s="344"/>
      <c r="Z103" s="342"/>
      <c r="AA103" s="344"/>
      <c r="AB103" s="346"/>
      <c r="AC103" s="244"/>
    </row>
    <row r="104" spans="1:29" ht="15.75" customHeight="1" x14ac:dyDescent="0.25">
      <c r="A104" s="134">
        <v>47</v>
      </c>
      <c r="B104" s="190" t="s">
        <v>364</v>
      </c>
      <c r="C104" s="353" t="s">
        <v>365</v>
      </c>
      <c r="D104" s="351" t="s">
        <v>354</v>
      </c>
      <c r="E104" s="347">
        <v>19</v>
      </c>
      <c r="F104" s="349">
        <v>0</v>
      </c>
      <c r="G104" s="349">
        <v>0</v>
      </c>
      <c r="H104" s="349">
        <v>0</v>
      </c>
      <c r="I104" s="349">
        <v>0</v>
      </c>
      <c r="J104" s="349">
        <v>0</v>
      </c>
      <c r="K104" s="349">
        <v>0</v>
      </c>
      <c r="L104" s="349">
        <v>0</v>
      </c>
      <c r="M104" s="349">
        <v>0</v>
      </c>
      <c r="N104" s="347">
        <v>0</v>
      </c>
      <c r="O104" s="349">
        <v>0</v>
      </c>
      <c r="P104" s="349">
        <v>0</v>
      </c>
      <c r="Q104" s="341">
        <f>SUM(F104*0.5%)</f>
        <v>0</v>
      </c>
      <c r="R104" s="343">
        <f>SUM(G104*1%)</f>
        <v>0</v>
      </c>
      <c r="S104" s="345">
        <f>SUM(H104*1.25%)</f>
        <v>0</v>
      </c>
      <c r="T104" s="341">
        <f>SUM(I104*1.5%)</f>
        <v>0</v>
      </c>
      <c r="U104" s="341">
        <f>SUM(J104*0.5%)</f>
        <v>0</v>
      </c>
      <c r="V104" s="343">
        <f>SUM(K104*1%)</f>
        <v>0</v>
      </c>
      <c r="W104" s="345">
        <f>SUM(L104*1.25%)</f>
        <v>0</v>
      </c>
      <c r="X104" s="345">
        <f>SUM(M104*1.5%)</f>
        <v>0</v>
      </c>
      <c r="Y104" s="343">
        <f>SUM(N104*2%)</f>
        <v>0</v>
      </c>
      <c r="Z104" s="341">
        <f t="shared" ref="Z104" si="44">SUM(O104*0%)</f>
        <v>0</v>
      </c>
      <c r="AA104" s="343">
        <f>SUM(P104*3%)</f>
        <v>0</v>
      </c>
      <c r="AB104" s="345">
        <f>SUM(Q104:AA104)</f>
        <v>0</v>
      </c>
      <c r="AC104" s="244"/>
    </row>
    <row r="105" spans="1:29" ht="15.75" customHeight="1" x14ac:dyDescent="0.25">
      <c r="A105" s="101"/>
      <c r="B105" s="192" t="s">
        <v>431</v>
      </c>
      <c r="C105" s="354"/>
      <c r="D105" s="352"/>
      <c r="E105" s="348"/>
      <c r="F105" s="350"/>
      <c r="G105" s="350"/>
      <c r="H105" s="350"/>
      <c r="I105" s="350"/>
      <c r="J105" s="350"/>
      <c r="K105" s="350"/>
      <c r="L105" s="350"/>
      <c r="M105" s="350"/>
      <c r="N105" s="348"/>
      <c r="O105" s="350"/>
      <c r="P105" s="350"/>
      <c r="Q105" s="342"/>
      <c r="R105" s="344"/>
      <c r="S105" s="346"/>
      <c r="T105" s="342"/>
      <c r="U105" s="342"/>
      <c r="V105" s="344"/>
      <c r="W105" s="346"/>
      <c r="X105" s="346"/>
      <c r="Y105" s="344"/>
      <c r="Z105" s="342"/>
      <c r="AA105" s="344"/>
      <c r="AB105" s="346"/>
      <c r="AC105" s="244"/>
    </row>
    <row r="106" spans="1:29" ht="15.75" customHeight="1" x14ac:dyDescent="0.25">
      <c r="A106" s="134">
        <v>48</v>
      </c>
      <c r="B106" s="190" t="s">
        <v>358</v>
      </c>
      <c r="C106" s="353" t="s">
        <v>365</v>
      </c>
      <c r="D106" s="355" t="s">
        <v>359</v>
      </c>
      <c r="E106" s="347">
        <v>19</v>
      </c>
      <c r="F106" s="349">
        <v>1</v>
      </c>
      <c r="G106" s="349">
        <v>0</v>
      </c>
      <c r="H106" s="349">
        <v>1</v>
      </c>
      <c r="I106" s="349">
        <v>0</v>
      </c>
      <c r="J106" s="349">
        <v>0</v>
      </c>
      <c r="K106" s="349">
        <v>0</v>
      </c>
      <c r="L106" s="349">
        <v>0</v>
      </c>
      <c r="M106" s="349">
        <v>0</v>
      </c>
      <c r="N106" s="347">
        <v>0</v>
      </c>
      <c r="O106" s="349">
        <v>1</v>
      </c>
      <c r="P106" s="349">
        <v>0</v>
      </c>
      <c r="Q106" s="341">
        <f>SUM(F106*0.5%)</f>
        <v>5.0000000000000001E-3</v>
      </c>
      <c r="R106" s="343">
        <f>SUM(G106*1%)</f>
        <v>0</v>
      </c>
      <c r="S106" s="345">
        <f>SUM(H106*1.25%)</f>
        <v>1.2500000000000001E-2</v>
      </c>
      <c r="T106" s="341">
        <f>SUM(I106*1.5%)</f>
        <v>0</v>
      </c>
      <c r="U106" s="341">
        <f>SUM(J106*0.5%)</f>
        <v>0</v>
      </c>
      <c r="V106" s="343">
        <f>SUM(K106*1%)</f>
        <v>0</v>
      </c>
      <c r="W106" s="345">
        <f>SUM(L106*1.25%)</f>
        <v>0</v>
      </c>
      <c r="X106" s="345">
        <f>SUM(M106*1.5%)</f>
        <v>0</v>
      </c>
      <c r="Y106" s="343">
        <f>SUM(N106*2%)</f>
        <v>0</v>
      </c>
      <c r="Z106" s="341">
        <f t="shared" ref="Z106" si="45">SUM(O106*0%)</f>
        <v>0</v>
      </c>
      <c r="AA106" s="343">
        <f>SUM(P106*3%)</f>
        <v>0</v>
      </c>
      <c r="AB106" s="345">
        <f>SUM(Q106:AA106)</f>
        <v>1.7500000000000002E-2</v>
      </c>
      <c r="AC106" s="244"/>
    </row>
    <row r="107" spans="1:29" ht="15.75" customHeight="1" x14ac:dyDescent="0.25">
      <c r="A107" s="101"/>
      <c r="B107" s="191" t="s">
        <v>432</v>
      </c>
      <c r="C107" s="354"/>
      <c r="D107" s="356"/>
      <c r="E107" s="348"/>
      <c r="F107" s="350"/>
      <c r="G107" s="350"/>
      <c r="H107" s="350"/>
      <c r="I107" s="350"/>
      <c r="J107" s="350"/>
      <c r="K107" s="350"/>
      <c r="L107" s="350"/>
      <c r="M107" s="350"/>
      <c r="N107" s="348"/>
      <c r="O107" s="350"/>
      <c r="P107" s="350"/>
      <c r="Q107" s="342"/>
      <c r="R107" s="344"/>
      <c r="S107" s="346"/>
      <c r="T107" s="342"/>
      <c r="U107" s="342"/>
      <c r="V107" s="344"/>
      <c r="W107" s="346"/>
      <c r="X107" s="346"/>
      <c r="Y107" s="344"/>
      <c r="Z107" s="342"/>
      <c r="AA107" s="344"/>
      <c r="AB107" s="346"/>
      <c r="AC107" s="244"/>
    </row>
    <row r="108" spans="1:29" ht="15.75" customHeight="1" x14ac:dyDescent="0.25">
      <c r="A108" s="134">
        <v>49</v>
      </c>
      <c r="B108" s="190" t="s">
        <v>362</v>
      </c>
      <c r="C108" s="353" t="s">
        <v>365</v>
      </c>
      <c r="D108" s="355" t="s">
        <v>359</v>
      </c>
      <c r="E108" s="347">
        <v>19</v>
      </c>
      <c r="F108" s="349">
        <v>0</v>
      </c>
      <c r="G108" s="349">
        <v>0</v>
      </c>
      <c r="H108" s="349">
        <v>0</v>
      </c>
      <c r="I108" s="349">
        <v>0</v>
      </c>
      <c r="J108" s="349">
        <v>0</v>
      </c>
      <c r="K108" s="349">
        <v>0</v>
      </c>
      <c r="L108" s="349">
        <v>0</v>
      </c>
      <c r="M108" s="349">
        <v>0</v>
      </c>
      <c r="N108" s="347">
        <v>0</v>
      </c>
      <c r="O108" s="349">
        <v>1</v>
      </c>
      <c r="P108" s="349">
        <v>0</v>
      </c>
      <c r="Q108" s="341">
        <f>SUM(F108*0.5%)</f>
        <v>0</v>
      </c>
      <c r="R108" s="343">
        <f>SUM(G108*1%)</f>
        <v>0</v>
      </c>
      <c r="S108" s="345">
        <f>SUM(H108*1.25%)</f>
        <v>0</v>
      </c>
      <c r="T108" s="341">
        <f>SUM(I108*1.5%)</f>
        <v>0</v>
      </c>
      <c r="U108" s="341">
        <f>SUM(J108*0.5%)</f>
        <v>0</v>
      </c>
      <c r="V108" s="343">
        <f>SUM(K108*1%)</f>
        <v>0</v>
      </c>
      <c r="W108" s="345">
        <f>SUM(L108*1.25%)</f>
        <v>0</v>
      </c>
      <c r="X108" s="345">
        <f>SUM(M108*1.5%)</f>
        <v>0</v>
      </c>
      <c r="Y108" s="343">
        <f>SUM(N108*2%)</f>
        <v>0</v>
      </c>
      <c r="Z108" s="341">
        <f t="shared" ref="Z108" si="46">SUM(O108*0%)</f>
        <v>0</v>
      </c>
      <c r="AA108" s="343">
        <f>SUM(P108*3%)</f>
        <v>0</v>
      </c>
      <c r="AB108" s="345">
        <f>SUM(Q108:AA108)</f>
        <v>0</v>
      </c>
      <c r="AC108" s="244"/>
    </row>
    <row r="109" spans="1:29" ht="15.75" customHeight="1" x14ac:dyDescent="0.25">
      <c r="A109" s="101"/>
      <c r="B109" s="191" t="s">
        <v>433</v>
      </c>
      <c r="C109" s="354"/>
      <c r="D109" s="356"/>
      <c r="E109" s="348"/>
      <c r="F109" s="350"/>
      <c r="G109" s="350"/>
      <c r="H109" s="350"/>
      <c r="I109" s="350"/>
      <c r="J109" s="350"/>
      <c r="K109" s="350"/>
      <c r="L109" s="350"/>
      <c r="M109" s="350"/>
      <c r="N109" s="348"/>
      <c r="O109" s="350"/>
      <c r="P109" s="350"/>
      <c r="Q109" s="342"/>
      <c r="R109" s="344"/>
      <c r="S109" s="346"/>
      <c r="T109" s="342"/>
      <c r="U109" s="342"/>
      <c r="V109" s="344"/>
      <c r="W109" s="346"/>
      <c r="X109" s="346"/>
      <c r="Y109" s="344"/>
      <c r="Z109" s="342"/>
      <c r="AA109" s="344"/>
      <c r="AB109" s="346"/>
      <c r="AC109" s="244"/>
    </row>
    <row r="110" spans="1:29" ht="15.75" customHeight="1" x14ac:dyDescent="0.25">
      <c r="A110" s="134">
        <v>50</v>
      </c>
      <c r="B110" s="199" t="s">
        <v>366</v>
      </c>
      <c r="C110" s="353" t="s">
        <v>365</v>
      </c>
      <c r="D110" s="355" t="s">
        <v>359</v>
      </c>
      <c r="E110" s="347">
        <v>19</v>
      </c>
      <c r="F110" s="349">
        <v>0</v>
      </c>
      <c r="G110" s="349">
        <v>0</v>
      </c>
      <c r="H110" s="349">
        <v>0</v>
      </c>
      <c r="I110" s="349">
        <v>0</v>
      </c>
      <c r="J110" s="349">
        <v>0</v>
      </c>
      <c r="K110" s="349">
        <v>0</v>
      </c>
      <c r="L110" s="349">
        <v>0</v>
      </c>
      <c r="M110" s="349">
        <v>0</v>
      </c>
      <c r="N110" s="347">
        <v>0</v>
      </c>
      <c r="O110" s="349">
        <v>5</v>
      </c>
      <c r="P110" s="349">
        <v>0</v>
      </c>
      <c r="Q110" s="341">
        <f>SUM(F110*0.5%)</f>
        <v>0</v>
      </c>
      <c r="R110" s="343">
        <f>SUM(G110*1%)</f>
        <v>0</v>
      </c>
      <c r="S110" s="345">
        <f>SUM(H110*1.25%)</f>
        <v>0</v>
      </c>
      <c r="T110" s="341">
        <f>SUM(I110*1.5%)</f>
        <v>0</v>
      </c>
      <c r="U110" s="341">
        <f>SUM(J110*0.5%)</f>
        <v>0</v>
      </c>
      <c r="V110" s="343">
        <f>SUM(K110*1%)</f>
        <v>0</v>
      </c>
      <c r="W110" s="345">
        <f>SUM(L110*1.25%)</f>
        <v>0</v>
      </c>
      <c r="X110" s="345">
        <f>SUM(M110*1.5%)</f>
        <v>0</v>
      </c>
      <c r="Y110" s="343">
        <f>SUM(N110*2%)</f>
        <v>0</v>
      </c>
      <c r="Z110" s="341">
        <f t="shared" ref="Z110" si="47">SUM(O110*0%)</f>
        <v>0</v>
      </c>
      <c r="AA110" s="343">
        <f>SUM(P110*3%)</f>
        <v>0</v>
      </c>
      <c r="AB110" s="345">
        <f>SUM(Q110:AA110)</f>
        <v>0</v>
      </c>
      <c r="AC110" s="244"/>
    </row>
    <row r="111" spans="1:29" ht="15.75" customHeight="1" x14ac:dyDescent="0.25">
      <c r="A111" s="101"/>
      <c r="B111" s="200" t="s">
        <v>434</v>
      </c>
      <c r="C111" s="354"/>
      <c r="D111" s="356"/>
      <c r="E111" s="348"/>
      <c r="F111" s="350"/>
      <c r="G111" s="350"/>
      <c r="H111" s="350"/>
      <c r="I111" s="350"/>
      <c r="J111" s="350"/>
      <c r="K111" s="350"/>
      <c r="L111" s="350"/>
      <c r="M111" s="350"/>
      <c r="N111" s="348"/>
      <c r="O111" s="350"/>
      <c r="P111" s="350"/>
      <c r="Q111" s="342"/>
      <c r="R111" s="344"/>
      <c r="S111" s="346"/>
      <c r="T111" s="342"/>
      <c r="U111" s="342"/>
      <c r="V111" s="344"/>
      <c r="W111" s="346"/>
      <c r="X111" s="346"/>
      <c r="Y111" s="344"/>
      <c r="Z111" s="342"/>
      <c r="AA111" s="344"/>
      <c r="AB111" s="346"/>
      <c r="AC111" s="244"/>
    </row>
    <row r="112" spans="1:29" ht="15.75" customHeight="1" x14ac:dyDescent="0.25">
      <c r="A112" s="134">
        <v>41</v>
      </c>
      <c r="B112" s="190" t="s">
        <v>367</v>
      </c>
      <c r="C112" s="353" t="s">
        <v>365</v>
      </c>
      <c r="D112" s="355" t="s">
        <v>359</v>
      </c>
      <c r="E112" s="347">
        <v>19</v>
      </c>
      <c r="F112" s="349">
        <v>0</v>
      </c>
      <c r="G112" s="349">
        <v>0</v>
      </c>
      <c r="H112" s="349">
        <v>0</v>
      </c>
      <c r="I112" s="349">
        <v>0</v>
      </c>
      <c r="J112" s="349">
        <v>0</v>
      </c>
      <c r="K112" s="349">
        <v>0</v>
      </c>
      <c r="L112" s="349">
        <v>0</v>
      </c>
      <c r="M112" s="349">
        <v>0</v>
      </c>
      <c r="N112" s="347">
        <v>0</v>
      </c>
      <c r="O112" s="349">
        <v>0</v>
      </c>
      <c r="P112" s="349">
        <v>0</v>
      </c>
      <c r="Q112" s="341">
        <f>SUM(F112*0.5%)</f>
        <v>0</v>
      </c>
      <c r="R112" s="343">
        <f>SUM(G112*1%)</f>
        <v>0</v>
      </c>
      <c r="S112" s="345">
        <f>SUM(H112*1.25%)</f>
        <v>0</v>
      </c>
      <c r="T112" s="341">
        <f>SUM(I112*1.5%)</f>
        <v>0</v>
      </c>
      <c r="U112" s="341">
        <f>SUM(J112*0.5%)</f>
        <v>0</v>
      </c>
      <c r="V112" s="343">
        <f>SUM(K112*1%)</f>
        <v>0</v>
      </c>
      <c r="W112" s="345">
        <f>SUM(L112*1.25%)</f>
        <v>0</v>
      </c>
      <c r="X112" s="345">
        <f>SUM(M112*1.5%)</f>
        <v>0</v>
      </c>
      <c r="Y112" s="343">
        <f>SUM(N112*2%)</f>
        <v>0</v>
      </c>
      <c r="Z112" s="341">
        <f t="shared" ref="Z112" si="48">SUM(O112*0%)</f>
        <v>0</v>
      </c>
      <c r="AA112" s="343">
        <f>SUM(P112*3%)</f>
        <v>0</v>
      </c>
      <c r="AB112" s="345">
        <f>SUM(Q112:AA112)</f>
        <v>0</v>
      </c>
      <c r="AC112" s="244"/>
    </row>
    <row r="113" spans="1:29" ht="15.75" customHeight="1" x14ac:dyDescent="0.25">
      <c r="A113" s="101"/>
      <c r="B113" s="191" t="s">
        <v>435</v>
      </c>
      <c r="C113" s="354"/>
      <c r="D113" s="356"/>
      <c r="E113" s="348"/>
      <c r="F113" s="350"/>
      <c r="G113" s="350"/>
      <c r="H113" s="350"/>
      <c r="I113" s="350"/>
      <c r="J113" s="350"/>
      <c r="K113" s="350"/>
      <c r="L113" s="350"/>
      <c r="M113" s="350"/>
      <c r="N113" s="348"/>
      <c r="O113" s="350"/>
      <c r="P113" s="350"/>
      <c r="Q113" s="342"/>
      <c r="R113" s="344"/>
      <c r="S113" s="346"/>
      <c r="T113" s="342"/>
      <c r="U113" s="342"/>
      <c r="V113" s="344"/>
      <c r="W113" s="346"/>
      <c r="X113" s="346"/>
      <c r="Y113" s="344"/>
      <c r="Z113" s="342"/>
      <c r="AA113" s="344"/>
      <c r="AB113" s="346"/>
      <c r="AC113" s="244"/>
    </row>
    <row r="114" spans="1:29" ht="15.75" customHeight="1" x14ac:dyDescent="0.25">
      <c r="A114" s="134">
        <v>52</v>
      </c>
      <c r="B114" s="190" t="s">
        <v>368</v>
      </c>
      <c r="C114" s="353" t="s">
        <v>365</v>
      </c>
      <c r="D114" s="355" t="s">
        <v>359</v>
      </c>
      <c r="E114" s="347">
        <v>19</v>
      </c>
      <c r="F114" s="349">
        <v>0</v>
      </c>
      <c r="G114" s="349">
        <v>0</v>
      </c>
      <c r="H114" s="349">
        <v>0</v>
      </c>
      <c r="I114" s="349">
        <v>0</v>
      </c>
      <c r="J114" s="349">
        <v>0</v>
      </c>
      <c r="K114" s="349">
        <v>0</v>
      </c>
      <c r="L114" s="349">
        <v>0</v>
      </c>
      <c r="M114" s="349">
        <v>0</v>
      </c>
      <c r="N114" s="347">
        <v>0</v>
      </c>
      <c r="O114" s="349">
        <v>0</v>
      </c>
      <c r="P114" s="349">
        <v>0</v>
      </c>
      <c r="Q114" s="341">
        <f>SUM(F114*0.5%)</f>
        <v>0</v>
      </c>
      <c r="R114" s="343">
        <f>SUM(G114*1%)</f>
        <v>0</v>
      </c>
      <c r="S114" s="345">
        <f>SUM(H114*1.25%)</f>
        <v>0</v>
      </c>
      <c r="T114" s="341">
        <f>SUM(I114*1.5%)</f>
        <v>0</v>
      </c>
      <c r="U114" s="341">
        <f>SUM(J114*0.5%)</f>
        <v>0</v>
      </c>
      <c r="V114" s="343">
        <f>SUM(K114*1%)</f>
        <v>0</v>
      </c>
      <c r="W114" s="345">
        <f>SUM(L114*1.25%)</f>
        <v>0</v>
      </c>
      <c r="X114" s="345">
        <f>SUM(M114*1.5%)</f>
        <v>0</v>
      </c>
      <c r="Y114" s="343">
        <f>SUM(N114*2%)</f>
        <v>0</v>
      </c>
      <c r="Z114" s="341">
        <f t="shared" ref="Z114" si="49">SUM(O114*0%)</f>
        <v>0</v>
      </c>
      <c r="AA114" s="343">
        <f>SUM(P114*3%)</f>
        <v>0</v>
      </c>
      <c r="AB114" s="345">
        <f>SUM(Q114:AA114)</f>
        <v>0</v>
      </c>
      <c r="AC114" s="244"/>
    </row>
    <row r="115" spans="1:29" ht="16.5" customHeight="1" x14ac:dyDescent="0.25">
      <c r="A115" s="101"/>
      <c r="B115" s="191" t="s">
        <v>436</v>
      </c>
      <c r="C115" s="354"/>
      <c r="D115" s="356"/>
      <c r="E115" s="348"/>
      <c r="F115" s="350"/>
      <c r="G115" s="350"/>
      <c r="H115" s="350"/>
      <c r="I115" s="350"/>
      <c r="J115" s="350"/>
      <c r="K115" s="350"/>
      <c r="L115" s="350"/>
      <c r="M115" s="350"/>
      <c r="N115" s="348"/>
      <c r="O115" s="350"/>
      <c r="P115" s="350"/>
      <c r="Q115" s="342"/>
      <c r="R115" s="344"/>
      <c r="S115" s="346"/>
      <c r="T115" s="342"/>
      <c r="U115" s="342"/>
      <c r="V115" s="344"/>
      <c r="W115" s="346"/>
      <c r="X115" s="346"/>
      <c r="Y115" s="344"/>
      <c r="Z115" s="342"/>
      <c r="AA115" s="344"/>
      <c r="AB115" s="346"/>
      <c r="AC115" s="244"/>
    </row>
    <row r="116" spans="1:29" ht="16.5" customHeight="1" x14ac:dyDescent="0.25">
      <c r="A116" s="313">
        <v>53</v>
      </c>
      <c r="B116" s="190" t="s">
        <v>369</v>
      </c>
      <c r="C116" s="353" t="s">
        <v>365</v>
      </c>
      <c r="D116" s="355" t="s">
        <v>359</v>
      </c>
      <c r="E116" s="347">
        <v>19</v>
      </c>
      <c r="F116" s="349">
        <v>0</v>
      </c>
      <c r="G116" s="349">
        <v>0</v>
      </c>
      <c r="H116" s="349">
        <v>0</v>
      </c>
      <c r="I116" s="349">
        <v>0</v>
      </c>
      <c r="J116" s="349">
        <v>0</v>
      </c>
      <c r="K116" s="349">
        <v>0</v>
      </c>
      <c r="L116" s="349">
        <v>0</v>
      </c>
      <c r="M116" s="349">
        <v>1</v>
      </c>
      <c r="N116" s="347">
        <v>0</v>
      </c>
      <c r="O116" s="349">
        <v>0</v>
      </c>
      <c r="P116" s="349">
        <v>0</v>
      </c>
      <c r="Q116" s="341">
        <f>SUM(F116*0.5%)</f>
        <v>0</v>
      </c>
      <c r="R116" s="343">
        <f>SUM(G116*1%)</f>
        <v>0</v>
      </c>
      <c r="S116" s="345">
        <f>SUM(H116*1.25%)</f>
        <v>0</v>
      </c>
      <c r="T116" s="341">
        <f>SUM(I116*1.5%)</f>
        <v>0</v>
      </c>
      <c r="U116" s="341">
        <f>SUM(J116*0.5%)</f>
        <v>0</v>
      </c>
      <c r="V116" s="343">
        <f>SUM(K116*1%)</f>
        <v>0</v>
      </c>
      <c r="W116" s="345">
        <f>SUM(L116*1.25%)</f>
        <v>0</v>
      </c>
      <c r="X116" s="345">
        <f>SUM(M116*1.5%)</f>
        <v>1.4999999999999999E-2</v>
      </c>
      <c r="Y116" s="343">
        <f>SUM(N116*2%)</f>
        <v>0</v>
      </c>
      <c r="Z116" s="341">
        <f t="shared" ref="Z116" si="50">SUM(O116*0%)</f>
        <v>0</v>
      </c>
      <c r="AA116" s="343">
        <f>SUM(P116*3%)</f>
        <v>0</v>
      </c>
      <c r="AB116" s="345">
        <f>SUM(Q116:AA116)</f>
        <v>1.4999999999999999E-2</v>
      </c>
      <c r="AC116" s="244"/>
    </row>
    <row r="117" spans="1:29" ht="18" customHeight="1" x14ac:dyDescent="0.25">
      <c r="A117" s="314"/>
      <c r="B117" s="191" t="s">
        <v>437</v>
      </c>
      <c r="C117" s="354"/>
      <c r="D117" s="356"/>
      <c r="E117" s="348"/>
      <c r="F117" s="350"/>
      <c r="G117" s="350"/>
      <c r="H117" s="350"/>
      <c r="I117" s="350"/>
      <c r="J117" s="350"/>
      <c r="K117" s="350"/>
      <c r="L117" s="350"/>
      <c r="M117" s="350"/>
      <c r="N117" s="348"/>
      <c r="O117" s="350"/>
      <c r="P117" s="350"/>
      <c r="Q117" s="342"/>
      <c r="R117" s="344"/>
      <c r="S117" s="346"/>
      <c r="T117" s="342"/>
      <c r="U117" s="342"/>
      <c r="V117" s="344"/>
      <c r="W117" s="346"/>
      <c r="X117" s="346"/>
      <c r="Y117" s="344"/>
      <c r="Z117" s="342"/>
      <c r="AA117" s="344"/>
      <c r="AB117" s="346"/>
      <c r="AC117" s="244"/>
    </row>
    <row r="118" spans="1:29" ht="17.25" customHeight="1" x14ac:dyDescent="0.25">
      <c r="A118" s="309">
        <v>54</v>
      </c>
      <c r="B118" s="190" t="s">
        <v>360</v>
      </c>
      <c r="C118" s="353" t="s">
        <v>365</v>
      </c>
      <c r="D118" s="351" t="s">
        <v>361</v>
      </c>
      <c r="E118" s="347">
        <v>19</v>
      </c>
      <c r="F118" s="349">
        <v>0</v>
      </c>
      <c r="G118" s="349">
        <v>0</v>
      </c>
      <c r="H118" s="349">
        <v>0</v>
      </c>
      <c r="I118" s="349">
        <v>0</v>
      </c>
      <c r="J118" s="349">
        <v>0</v>
      </c>
      <c r="K118" s="349">
        <v>0</v>
      </c>
      <c r="L118" s="349">
        <v>0</v>
      </c>
      <c r="M118" s="349">
        <v>0</v>
      </c>
      <c r="N118" s="347">
        <v>0</v>
      </c>
      <c r="O118" s="349">
        <v>0</v>
      </c>
      <c r="P118" s="349">
        <v>0</v>
      </c>
      <c r="Q118" s="341">
        <f>SUM(F118*0.5%)</f>
        <v>0</v>
      </c>
      <c r="R118" s="343">
        <f>SUM(G118*1%)</f>
        <v>0</v>
      </c>
      <c r="S118" s="345">
        <f>SUM(H118*1.25%)</f>
        <v>0</v>
      </c>
      <c r="T118" s="341">
        <f>SUM(I118*1.5%)</f>
        <v>0</v>
      </c>
      <c r="U118" s="341">
        <f>SUM(J118*0.5%)</f>
        <v>0</v>
      </c>
      <c r="V118" s="343">
        <f>SUM(K118*1%)</f>
        <v>0</v>
      </c>
      <c r="W118" s="345">
        <f>SUM(L118*1.25%)</f>
        <v>0</v>
      </c>
      <c r="X118" s="345">
        <f>SUM(M118*1.5%)</f>
        <v>0</v>
      </c>
      <c r="Y118" s="343">
        <f>SUM(N118*2%)</f>
        <v>0</v>
      </c>
      <c r="Z118" s="341">
        <f t="shared" ref="Z118" si="51">SUM(O118*0%)</f>
        <v>0</v>
      </c>
      <c r="AA118" s="343">
        <f>SUM(P118*3%)</f>
        <v>0</v>
      </c>
      <c r="AB118" s="345">
        <f>SUM(Q118:AA118)</f>
        <v>0</v>
      </c>
      <c r="AC118" s="244"/>
    </row>
    <row r="119" spans="1:29" ht="18.75" customHeight="1" x14ac:dyDescent="0.25">
      <c r="A119" s="307"/>
      <c r="B119" s="191" t="s">
        <v>438</v>
      </c>
      <c r="C119" s="354"/>
      <c r="D119" s="352"/>
      <c r="E119" s="348"/>
      <c r="F119" s="350"/>
      <c r="G119" s="350"/>
      <c r="H119" s="350"/>
      <c r="I119" s="350"/>
      <c r="J119" s="350"/>
      <c r="K119" s="350"/>
      <c r="L119" s="350"/>
      <c r="M119" s="350"/>
      <c r="N119" s="348"/>
      <c r="O119" s="350"/>
      <c r="P119" s="350"/>
      <c r="Q119" s="342"/>
      <c r="R119" s="344"/>
      <c r="S119" s="346"/>
      <c r="T119" s="342"/>
      <c r="U119" s="342"/>
      <c r="V119" s="344"/>
      <c r="W119" s="346"/>
      <c r="X119" s="346"/>
      <c r="Y119" s="344"/>
      <c r="Z119" s="342"/>
      <c r="AA119" s="344"/>
      <c r="AB119" s="346"/>
      <c r="AC119" s="244"/>
    </row>
    <row r="120" spans="1:29" ht="18.75" customHeight="1" x14ac:dyDescent="0.25">
      <c r="B120" s="119"/>
      <c r="C120" s="119"/>
      <c r="D120" s="120"/>
      <c r="E120" s="337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19"/>
      <c r="R120" s="119"/>
      <c r="S120" s="119"/>
      <c r="T120" s="119"/>
      <c r="AB120" s="119"/>
    </row>
    <row r="121" spans="1:29" ht="17.25" customHeight="1" x14ac:dyDescent="0.25">
      <c r="E121" s="338"/>
      <c r="V121" s="130"/>
      <c r="X121" s="130"/>
    </row>
    <row r="122" spans="1:29" ht="15.75" customHeight="1" x14ac:dyDescent="0.25">
      <c r="E122" s="338"/>
      <c r="U122" s="146" t="s">
        <v>532</v>
      </c>
      <c r="V122" s="146"/>
      <c r="W122" s="146"/>
      <c r="X122" s="146"/>
    </row>
    <row r="123" spans="1:29" ht="15.75" x14ac:dyDescent="0.25">
      <c r="E123" s="338"/>
      <c r="U123" s="146"/>
      <c r="V123" s="146"/>
      <c r="W123" s="15"/>
      <c r="X123" s="146"/>
      <c r="Y123" s="119"/>
      <c r="Z123" s="119"/>
      <c r="AA123" s="122"/>
    </row>
    <row r="124" spans="1:29" ht="15.75" x14ac:dyDescent="0.25">
      <c r="E124" s="338"/>
      <c r="U124" s="100" t="s">
        <v>440</v>
      </c>
      <c r="V124" s="100"/>
      <c r="W124" s="21"/>
      <c r="X124" s="146"/>
      <c r="Y124" s="119"/>
      <c r="Z124" s="119"/>
      <c r="AA124" s="122"/>
    </row>
    <row r="125" spans="1:29" ht="15.75" x14ac:dyDescent="0.25">
      <c r="E125" s="338"/>
      <c r="U125" s="100" t="s">
        <v>441</v>
      </c>
      <c r="V125" s="100"/>
      <c r="W125" s="15"/>
      <c r="X125" s="146"/>
      <c r="Y125" s="119"/>
      <c r="Z125" s="119"/>
      <c r="AA125" s="123"/>
    </row>
    <row r="126" spans="1:29" ht="15.75" x14ac:dyDescent="0.25">
      <c r="U126" s="100"/>
      <c r="V126" s="100"/>
      <c r="W126" s="15"/>
      <c r="X126" s="140"/>
      <c r="Y126" s="132"/>
      <c r="Z126" s="132"/>
      <c r="AA126" s="133"/>
    </row>
    <row r="127" spans="1:29" ht="15.75" x14ac:dyDescent="0.25">
      <c r="U127" s="100"/>
      <c r="V127" s="100"/>
      <c r="W127" s="15"/>
      <c r="X127" s="140"/>
      <c r="Y127" s="119"/>
      <c r="Z127" s="119"/>
      <c r="AA127" s="123"/>
    </row>
    <row r="128" spans="1:29" ht="15.75" x14ac:dyDescent="0.25">
      <c r="U128" s="100"/>
      <c r="V128" s="100"/>
      <c r="W128" s="15"/>
      <c r="X128" s="140"/>
      <c r="Y128" s="15"/>
      <c r="Z128" s="119"/>
      <c r="AA128" s="124"/>
    </row>
    <row r="129" spans="21:27" ht="15.75" customHeight="1" x14ac:dyDescent="0.25">
      <c r="U129" s="336" t="s">
        <v>465</v>
      </c>
      <c r="V129" s="336"/>
      <c r="W129" s="336"/>
      <c r="X129" s="336"/>
      <c r="Y129" s="336"/>
      <c r="Z129" s="336"/>
      <c r="AA129" s="336"/>
    </row>
    <row r="130" spans="21:27" ht="15.75" x14ac:dyDescent="0.25">
      <c r="U130" s="100" t="s">
        <v>93</v>
      </c>
      <c r="V130" s="100"/>
      <c r="W130" s="100" t="s">
        <v>338</v>
      </c>
      <c r="X130" s="146"/>
      <c r="Y130" s="119"/>
      <c r="Z130" s="15"/>
      <c r="AA130" s="119"/>
    </row>
    <row r="131" spans="21:27" ht="15.75" x14ac:dyDescent="0.25">
      <c r="U131" s="100" t="s">
        <v>94</v>
      </c>
      <c r="V131" s="100"/>
      <c r="W131" s="100" t="s">
        <v>442</v>
      </c>
      <c r="X131" s="146"/>
      <c r="Y131" s="119"/>
      <c r="Z131" s="15"/>
      <c r="AA131" s="119"/>
    </row>
  </sheetData>
  <mergeCells count="1425"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C82:C83"/>
    <mergeCell ref="C84:C85"/>
    <mergeCell ref="C86:C87"/>
    <mergeCell ref="C88:C89"/>
    <mergeCell ref="C90:C91"/>
    <mergeCell ref="AB80:AB81"/>
    <mergeCell ref="AB82:AB83"/>
    <mergeCell ref="AB84:AB85"/>
    <mergeCell ref="AB86:AB87"/>
    <mergeCell ref="Y80:Y81"/>
    <mergeCell ref="Y82:Y83"/>
    <mergeCell ref="Y84:Y85"/>
    <mergeCell ref="Y86:Y87"/>
    <mergeCell ref="Z80:Z81"/>
    <mergeCell ref="Z82:Z83"/>
    <mergeCell ref="C20:C21"/>
    <mergeCell ref="D20:D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N20:N21"/>
    <mergeCell ref="G20:G21"/>
    <mergeCell ref="C80:C81"/>
    <mergeCell ref="C78:C79"/>
    <mergeCell ref="C12:C13"/>
    <mergeCell ref="C16:C17"/>
    <mergeCell ref="C24:C25"/>
    <mergeCell ref="C26:C27"/>
    <mergeCell ref="C22:C23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6:C9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Z84:Z85"/>
    <mergeCell ref="Z86:Z87"/>
    <mergeCell ref="AA80:AA81"/>
    <mergeCell ref="AA82:AA83"/>
    <mergeCell ref="AA84:AA85"/>
    <mergeCell ref="AA86:AA87"/>
    <mergeCell ref="X80:X81"/>
    <mergeCell ref="X82:X83"/>
    <mergeCell ref="X84:X85"/>
    <mergeCell ref="X86:X87"/>
    <mergeCell ref="W80:W81"/>
    <mergeCell ref="W82:W83"/>
    <mergeCell ref="W84:W85"/>
    <mergeCell ref="W86:W87"/>
    <mergeCell ref="D88:D8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P84:P85"/>
    <mergeCell ref="P86:P87"/>
    <mergeCell ref="T80:T81"/>
    <mergeCell ref="T82:T83"/>
    <mergeCell ref="T84:T85"/>
    <mergeCell ref="R80:R81"/>
    <mergeCell ref="R82:R83"/>
    <mergeCell ref="R84:R85"/>
    <mergeCell ref="R86:R87"/>
    <mergeCell ref="S80:S81"/>
    <mergeCell ref="S82:S83"/>
    <mergeCell ref="S84:S85"/>
    <mergeCell ref="S86:S87"/>
    <mergeCell ref="U80:U81"/>
    <mergeCell ref="U82:U83"/>
    <mergeCell ref="U84:U85"/>
    <mergeCell ref="U86:U87"/>
    <mergeCell ref="V80:V81"/>
    <mergeCell ref="V82:V83"/>
    <mergeCell ref="V84:V85"/>
    <mergeCell ref="V86:V87"/>
    <mergeCell ref="M84:M85"/>
    <mergeCell ref="M86:M87"/>
    <mergeCell ref="T86:T87"/>
    <mergeCell ref="P80:P81"/>
    <mergeCell ref="P82:P83"/>
    <mergeCell ref="D84:D85"/>
    <mergeCell ref="D86:D87"/>
    <mergeCell ref="D80:D81"/>
    <mergeCell ref="E80:E81"/>
    <mergeCell ref="E82:E83"/>
    <mergeCell ref="K84:K85"/>
    <mergeCell ref="K86:K87"/>
    <mergeCell ref="L80:L81"/>
    <mergeCell ref="L82:L83"/>
    <mergeCell ref="L84:L85"/>
    <mergeCell ref="L86:L87"/>
    <mergeCell ref="Q80:Q81"/>
    <mergeCell ref="Q82:Q83"/>
    <mergeCell ref="Q84:Q85"/>
    <mergeCell ref="Q86:Q87"/>
    <mergeCell ref="E84:E85"/>
    <mergeCell ref="E86:E87"/>
    <mergeCell ref="F80:F81"/>
    <mergeCell ref="F82:F83"/>
    <mergeCell ref="F84:F85"/>
    <mergeCell ref="F86:F87"/>
    <mergeCell ref="G80:G81"/>
    <mergeCell ref="G82:G83"/>
    <mergeCell ref="G84:G85"/>
    <mergeCell ref="G86:G87"/>
    <mergeCell ref="D82:D83"/>
    <mergeCell ref="K80:K81"/>
    <mergeCell ref="K82:K83"/>
    <mergeCell ref="H86:H87"/>
    <mergeCell ref="I80:I81"/>
    <mergeCell ref="I82:I83"/>
    <mergeCell ref="I84:I85"/>
    <mergeCell ref="I86:I87"/>
    <mergeCell ref="J80:J81"/>
    <mergeCell ref="J82:J83"/>
    <mergeCell ref="J84:J85"/>
    <mergeCell ref="J86:J87"/>
    <mergeCell ref="D78:D79"/>
    <mergeCell ref="N80:N81"/>
    <mergeCell ref="N82:N83"/>
    <mergeCell ref="N84:N85"/>
    <mergeCell ref="N86:N87"/>
    <mergeCell ref="O80:O81"/>
    <mergeCell ref="O82:O83"/>
    <mergeCell ref="O84:O85"/>
    <mergeCell ref="O86:O87"/>
    <mergeCell ref="AB66:AB67"/>
    <mergeCell ref="AB68:AB69"/>
    <mergeCell ref="Y64:Y65"/>
    <mergeCell ref="Z64:Z65"/>
    <mergeCell ref="AA64:AA65"/>
    <mergeCell ref="V64:V65"/>
    <mergeCell ref="W64:W65"/>
    <mergeCell ref="X64:X65"/>
    <mergeCell ref="D72:D73"/>
    <mergeCell ref="F72:F73"/>
    <mergeCell ref="E78:E79"/>
    <mergeCell ref="F78:F79"/>
    <mergeCell ref="G78:G79"/>
    <mergeCell ref="H78:H79"/>
    <mergeCell ref="I78:I79"/>
    <mergeCell ref="J78:J79"/>
    <mergeCell ref="AB74:AB75"/>
    <mergeCell ref="S74:S75"/>
    <mergeCell ref="Y60:Y61"/>
    <mergeCell ref="Z60:Z61"/>
    <mergeCell ref="AB62:AB63"/>
    <mergeCell ref="AB54:AB55"/>
    <mergeCell ref="AB70:AB71"/>
    <mergeCell ref="Y68:Y69"/>
    <mergeCell ref="Z68:Z69"/>
    <mergeCell ref="AA68:AA69"/>
    <mergeCell ref="Z66:Z67"/>
    <mergeCell ref="AA66:AA67"/>
    <mergeCell ref="AB56:AB57"/>
    <mergeCell ref="V56:V57"/>
    <mergeCell ref="W56:W57"/>
    <mergeCell ref="V68:V69"/>
    <mergeCell ref="W68:W69"/>
    <mergeCell ref="X68:X69"/>
    <mergeCell ref="AB58:AB59"/>
    <mergeCell ref="AB60:AB61"/>
    <mergeCell ref="V58:V59"/>
    <mergeCell ref="W58:W59"/>
    <mergeCell ref="V70:V71"/>
    <mergeCell ref="W70:W71"/>
    <mergeCell ref="X70:X71"/>
    <mergeCell ref="W66:W67"/>
    <mergeCell ref="X66:X67"/>
    <mergeCell ref="Y66:Y67"/>
    <mergeCell ref="V66:V67"/>
    <mergeCell ref="T78:T79"/>
    <mergeCell ref="U78:U79"/>
    <mergeCell ref="V78:V79"/>
    <mergeCell ref="W78:W79"/>
    <mergeCell ref="AA72:AA73"/>
    <mergeCell ref="T72:T73"/>
    <mergeCell ref="U72:U73"/>
    <mergeCell ref="AB72:AB73"/>
    <mergeCell ref="J72:J73"/>
    <mergeCell ref="K72:K73"/>
    <mergeCell ref="L72:L73"/>
    <mergeCell ref="Q78:Q79"/>
    <mergeCell ref="K78:K79"/>
    <mergeCell ref="L78:L79"/>
    <mergeCell ref="R78:R79"/>
    <mergeCell ref="S78:S79"/>
    <mergeCell ref="Q72:Q73"/>
    <mergeCell ref="R72:R73"/>
    <mergeCell ref="S72:S73"/>
    <mergeCell ref="M72:M73"/>
    <mergeCell ref="N72:N73"/>
    <mergeCell ref="O72:O73"/>
    <mergeCell ref="P72:P73"/>
    <mergeCell ref="Q74:Q75"/>
    <mergeCell ref="AB76:AB77"/>
    <mergeCell ref="O76:O77"/>
    <mergeCell ref="N76:N77"/>
    <mergeCell ref="M76:M77"/>
    <mergeCell ref="U76:U77"/>
    <mergeCell ref="E72:E73"/>
    <mergeCell ref="S68:S69"/>
    <mergeCell ref="Q66:Q67"/>
    <mergeCell ref="R66:R67"/>
    <mergeCell ref="S66:S67"/>
    <mergeCell ref="I62:I63"/>
    <mergeCell ref="J62:J63"/>
    <mergeCell ref="G72:G73"/>
    <mergeCell ref="H72:H73"/>
    <mergeCell ref="I72:I73"/>
    <mergeCell ref="M78:M79"/>
    <mergeCell ref="N78:N79"/>
    <mergeCell ref="O78:O79"/>
    <mergeCell ref="P78:P79"/>
    <mergeCell ref="D76:D77"/>
    <mergeCell ref="E76:E77"/>
    <mergeCell ref="F76:F77"/>
    <mergeCell ref="G76:G77"/>
    <mergeCell ref="R68:R69"/>
    <mergeCell ref="P70:P71"/>
    <mergeCell ref="D70:D71"/>
    <mergeCell ref="E70:E71"/>
    <mergeCell ref="F70:F71"/>
    <mergeCell ref="G70:G71"/>
    <mergeCell ref="H70:H71"/>
    <mergeCell ref="I70:I71"/>
    <mergeCell ref="N68:N69"/>
    <mergeCell ref="O68:O69"/>
    <mergeCell ref="J68:J69"/>
    <mergeCell ref="K68:K69"/>
    <mergeCell ref="L68:L69"/>
    <mergeCell ref="M68:M69"/>
    <mergeCell ref="D74:D75"/>
    <mergeCell ref="E74:E75"/>
    <mergeCell ref="F74:F75"/>
    <mergeCell ref="G74:G75"/>
    <mergeCell ref="H74:H75"/>
    <mergeCell ref="I74:I75"/>
    <mergeCell ref="L74:L75"/>
    <mergeCell ref="M74:M75"/>
    <mergeCell ref="N74:N75"/>
    <mergeCell ref="O74:O75"/>
    <mergeCell ref="H76:H77"/>
    <mergeCell ref="I76:I77"/>
    <mergeCell ref="J76:J77"/>
    <mergeCell ref="K76:K77"/>
    <mergeCell ref="L76:L77"/>
    <mergeCell ref="R74:R75"/>
    <mergeCell ref="J74:J75"/>
    <mergeCell ref="K74:K75"/>
    <mergeCell ref="P74:P75"/>
    <mergeCell ref="U70:U71"/>
    <mergeCell ref="S70:S71"/>
    <mergeCell ref="Q70:Q71"/>
    <mergeCell ref="R70:R71"/>
    <mergeCell ref="T70:T71"/>
    <mergeCell ref="AA76:AA77"/>
    <mergeCell ref="Z76:Z77"/>
    <mergeCell ref="Y76:Y77"/>
    <mergeCell ref="X76:X77"/>
    <mergeCell ref="W76:W77"/>
    <mergeCell ref="V76:V77"/>
    <mergeCell ref="V72:V73"/>
    <mergeCell ref="W72:W73"/>
    <mergeCell ref="X72:X73"/>
    <mergeCell ref="Y72:Y73"/>
    <mergeCell ref="Z72:Z73"/>
    <mergeCell ref="Y70:Y71"/>
    <mergeCell ref="Z70:Z71"/>
    <mergeCell ref="AA70:AA71"/>
    <mergeCell ref="X74:X75"/>
    <mergeCell ref="T76:T77"/>
    <mergeCell ref="S76:S77"/>
    <mergeCell ref="R76:R77"/>
    <mergeCell ref="Q76:Q77"/>
    <mergeCell ref="AA74:AA75"/>
    <mergeCell ref="T74:T75"/>
    <mergeCell ref="U74:U75"/>
    <mergeCell ref="V74:V75"/>
    <mergeCell ref="W74:W75"/>
    <mergeCell ref="Y74:Y75"/>
    <mergeCell ref="Z74:Z75"/>
    <mergeCell ref="D68:D69"/>
    <mergeCell ref="E68:E69"/>
    <mergeCell ref="F68:F69"/>
    <mergeCell ref="G68:G69"/>
    <mergeCell ref="H68:H69"/>
    <mergeCell ref="I68:I69"/>
    <mergeCell ref="J70:J71"/>
    <mergeCell ref="K70:K71"/>
    <mergeCell ref="L70:L71"/>
    <mergeCell ref="M70:M71"/>
    <mergeCell ref="N70:N71"/>
    <mergeCell ref="O70:O71"/>
    <mergeCell ref="D66:D67"/>
    <mergeCell ref="E66:E67"/>
    <mergeCell ref="F66:F67"/>
    <mergeCell ref="D62:D63"/>
    <mergeCell ref="E62:E63"/>
    <mergeCell ref="F62:F63"/>
    <mergeCell ref="G62:G63"/>
    <mergeCell ref="H62:H63"/>
    <mergeCell ref="G66:G67"/>
    <mergeCell ref="H66:H67"/>
    <mergeCell ref="I66:I67"/>
    <mergeCell ref="J66:J67"/>
    <mergeCell ref="K66:K67"/>
    <mergeCell ref="L66:L67"/>
    <mergeCell ref="N64:N65"/>
    <mergeCell ref="O64:O65"/>
    <mergeCell ref="T66:T67"/>
    <mergeCell ref="U66:U67"/>
    <mergeCell ref="M66:M67"/>
    <mergeCell ref="N66:N67"/>
    <mergeCell ref="O66:O67"/>
    <mergeCell ref="D64:D65"/>
    <mergeCell ref="E64:E65"/>
    <mergeCell ref="F64:F65"/>
    <mergeCell ref="G64:G65"/>
    <mergeCell ref="K62:K63"/>
    <mergeCell ref="L62:L63"/>
    <mergeCell ref="P64:P65"/>
    <mergeCell ref="Q64:Q65"/>
    <mergeCell ref="R64:R65"/>
    <mergeCell ref="D58:D59"/>
    <mergeCell ref="AA60:AA61"/>
    <mergeCell ref="S60:S61"/>
    <mergeCell ref="T60:T61"/>
    <mergeCell ref="U60:U61"/>
    <mergeCell ref="V60:V61"/>
    <mergeCell ref="W60:W61"/>
    <mergeCell ref="X60:X61"/>
    <mergeCell ref="P60:P61"/>
    <mergeCell ref="J60:J61"/>
    <mergeCell ref="K60:K61"/>
    <mergeCell ref="L60:L61"/>
    <mergeCell ref="M60:M61"/>
    <mergeCell ref="L64:L65"/>
    <mergeCell ref="M64:M65"/>
    <mergeCell ref="O58:O59"/>
    <mergeCell ref="N60:N61"/>
    <mergeCell ref="O60:O61"/>
    <mergeCell ref="Q60:Q61"/>
    <mergeCell ref="R60:R61"/>
    <mergeCell ref="D60:D61"/>
    <mergeCell ref="E60:E61"/>
    <mergeCell ref="S62:S63"/>
    <mergeCell ref="T62:T63"/>
    <mergeCell ref="U62:U63"/>
    <mergeCell ref="M62:M63"/>
    <mergeCell ref="F60:F61"/>
    <mergeCell ref="G60:G61"/>
    <mergeCell ref="H60:H61"/>
    <mergeCell ref="I60:I61"/>
    <mergeCell ref="J64:J65"/>
    <mergeCell ref="K64:K65"/>
    <mergeCell ref="V62:V63"/>
    <mergeCell ref="W62:W63"/>
    <mergeCell ref="E58:E59"/>
    <mergeCell ref="F58:F59"/>
    <mergeCell ref="G58:G59"/>
    <mergeCell ref="H58:H59"/>
    <mergeCell ref="I58:I59"/>
    <mergeCell ref="J58:J59"/>
    <mergeCell ref="N62:N63"/>
    <mergeCell ref="O62:O63"/>
    <mergeCell ref="P62:P63"/>
    <mergeCell ref="S64:S65"/>
    <mergeCell ref="T64:T65"/>
    <mergeCell ref="U64:U65"/>
    <mergeCell ref="P58:P59"/>
    <mergeCell ref="H64:H65"/>
    <mergeCell ref="I64:I65"/>
    <mergeCell ref="Q58:Q59"/>
    <mergeCell ref="R58:R59"/>
    <mergeCell ref="Q62:Q63"/>
    <mergeCell ref="R62:R63"/>
    <mergeCell ref="AB64:AB65"/>
    <mergeCell ref="W54:W55"/>
    <mergeCell ref="X54:X55"/>
    <mergeCell ref="Y54:Y55"/>
    <mergeCell ref="Z54:Z55"/>
    <mergeCell ref="AA54:AA55"/>
    <mergeCell ref="Q54:Q55"/>
    <mergeCell ref="R54:R55"/>
    <mergeCell ref="S54:S55"/>
    <mergeCell ref="T54:T55"/>
    <mergeCell ref="U54:U55"/>
    <mergeCell ref="X56:X57"/>
    <mergeCell ref="Y56:Y57"/>
    <mergeCell ref="Z56:Z57"/>
    <mergeCell ref="AA56:AA57"/>
    <mergeCell ref="Q56:Q57"/>
    <mergeCell ref="R56:R57"/>
    <mergeCell ref="S56:S57"/>
    <mergeCell ref="T56:T57"/>
    <mergeCell ref="U56:U57"/>
    <mergeCell ref="X58:X59"/>
    <mergeCell ref="Y58:Y59"/>
    <mergeCell ref="Z58:Z59"/>
    <mergeCell ref="AA58:AA59"/>
    <mergeCell ref="S58:S59"/>
    <mergeCell ref="T58:T59"/>
    <mergeCell ref="U58:U59"/>
    <mergeCell ref="Z62:Z63"/>
    <mergeCell ref="AA62:AA63"/>
    <mergeCell ref="F56:F57"/>
    <mergeCell ref="G56:G57"/>
    <mergeCell ref="H56:H57"/>
    <mergeCell ref="I56:I57"/>
    <mergeCell ref="J56:J57"/>
    <mergeCell ref="K56:K57"/>
    <mergeCell ref="L56:L57"/>
    <mergeCell ref="K58:K59"/>
    <mergeCell ref="L58:L59"/>
    <mergeCell ref="M58:M59"/>
    <mergeCell ref="N58:N59"/>
    <mergeCell ref="M56:M57"/>
    <mergeCell ref="D52:D53"/>
    <mergeCell ref="E52:E53"/>
    <mergeCell ref="F52:F53"/>
    <mergeCell ref="G52:G53"/>
    <mergeCell ref="F54:F55"/>
    <mergeCell ref="G54:G55"/>
    <mergeCell ref="H52:H53"/>
    <mergeCell ref="D56:D57"/>
    <mergeCell ref="E56:E57"/>
    <mergeCell ref="H54:H55"/>
    <mergeCell ref="I54:I55"/>
    <mergeCell ref="J54:J55"/>
    <mergeCell ref="K54:K55"/>
    <mergeCell ref="L54:L55"/>
    <mergeCell ref="D54:D55"/>
    <mergeCell ref="E54:E55"/>
    <mergeCell ref="I52:I53"/>
    <mergeCell ref="J52:J53"/>
    <mergeCell ref="K52:K53"/>
    <mergeCell ref="L52:L53"/>
    <mergeCell ref="M54:M55"/>
    <mergeCell ref="N54:N55"/>
    <mergeCell ref="O54:O55"/>
    <mergeCell ref="P54:P55"/>
    <mergeCell ref="AB52:AB53"/>
    <mergeCell ref="V52:V53"/>
    <mergeCell ref="W52:W53"/>
    <mergeCell ref="X52:X53"/>
    <mergeCell ref="Y52:Y53"/>
    <mergeCell ref="Z52:Z53"/>
    <mergeCell ref="AA52:AA53"/>
    <mergeCell ref="Q52:Q53"/>
    <mergeCell ref="R52:R53"/>
    <mergeCell ref="S52:S53"/>
    <mergeCell ref="T52:T53"/>
    <mergeCell ref="U52:U53"/>
    <mergeCell ref="M52:M53"/>
    <mergeCell ref="N52:N53"/>
    <mergeCell ref="O52:O53"/>
    <mergeCell ref="P52:P53"/>
    <mergeCell ref="AA50:AA51"/>
    <mergeCell ref="S50:S51"/>
    <mergeCell ref="T50:T51"/>
    <mergeCell ref="U50:U51"/>
    <mergeCell ref="V50:V51"/>
    <mergeCell ref="W50:W51"/>
    <mergeCell ref="X50:X51"/>
    <mergeCell ref="P50:P51"/>
    <mergeCell ref="Q50:Q51"/>
    <mergeCell ref="R50:R51"/>
    <mergeCell ref="J50:J51"/>
    <mergeCell ref="K50:K51"/>
    <mergeCell ref="L50:L51"/>
    <mergeCell ref="M50:M51"/>
    <mergeCell ref="N50:N51"/>
    <mergeCell ref="O50:O51"/>
    <mergeCell ref="K48:K49"/>
    <mergeCell ref="L48:L49"/>
    <mergeCell ref="AB48:AB49"/>
    <mergeCell ref="D50:D51"/>
    <mergeCell ref="E50:E51"/>
    <mergeCell ref="F50:F51"/>
    <mergeCell ref="G50:G51"/>
    <mergeCell ref="H50:H51"/>
    <mergeCell ref="I50:I51"/>
    <mergeCell ref="V48:V49"/>
    <mergeCell ref="W48:W49"/>
    <mergeCell ref="X48:X49"/>
    <mergeCell ref="Y48:Y49"/>
    <mergeCell ref="Z48:Z49"/>
    <mergeCell ref="AA48:AA49"/>
    <mergeCell ref="Q48:Q49"/>
    <mergeCell ref="R48:R49"/>
    <mergeCell ref="S48:S49"/>
    <mergeCell ref="T48:T49"/>
    <mergeCell ref="U48:U49"/>
    <mergeCell ref="M48:M49"/>
    <mergeCell ref="N48:N49"/>
    <mergeCell ref="O48:O49"/>
    <mergeCell ref="P48:P49"/>
    <mergeCell ref="AB50:AB51"/>
    <mergeCell ref="D48:D49"/>
    <mergeCell ref="E48:E49"/>
    <mergeCell ref="F48:F49"/>
    <mergeCell ref="G48:G49"/>
    <mergeCell ref="H48:H49"/>
    <mergeCell ref="I48:I49"/>
    <mergeCell ref="J48:J49"/>
    <mergeCell ref="Y50:Y51"/>
    <mergeCell ref="Z50:Z51"/>
    <mergeCell ref="AB44:AB45"/>
    <mergeCell ref="D46:D47"/>
    <mergeCell ref="E46:E47"/>
    <mergeCell ref="F46:F47"/>
    <mergeCell ref="G46:G47"/>
    <mergeCell ref="H46:H47"/>
    <mergeCell ref="I46:I47"/>
    <mergeCell ref="V44:V45"/>
    <mergeCell ref="W44:W45"/>
    <mergeCell ref="X44:X45"/>
    <mergeCell ref="Y44:Y45"/>
    <mergeCell ref="Z44:Z45"/>
    <mergeCell ref="AA44:AA45"/>
    <mergeCell ref="Q44:Q45"/>
    <mergeCell ref="R44:R45"/>
    <mergeCell ref="S44:S45"/>
    <mergeCell ref="T44:T45"/>
    <mergeCell ref="U44:U45"/>
    <mergeCell ref="M44:M45"/>
    <mergeCell ref="N44:N45"/>
    <mergeCell ref="O44:O45"/>
    <mergeCell ref="P44:P45"/>
    <mergeCell ref="Y46:Y47"/>
    <mergeCell ref="Z46:Z47"/>
    <mergeCell ref="AA46:AA47"/>
    <mergeCell ref="S46:S47"/>
    <mergeCell ref="T46:T47"/>
    <mergeCell ref="AB46:AB47"/>
    <mergeCell ref="D44:D45"/>
    <mergeCell ref="W46:W47"/>
    <mergeCell ref="U46:U47"/>
    <mergeCell ref="V46:V47"/>
    <mergeCell ref="AB40:AB41"/>
    <mergeCell ref="D38:D39"/>
    <mergeCell ref="E38:E39"/>
    <mergeCell ref="F38:F39"/>
    <mergeCell ref="G38:G39"/>
    <mergeCell ref="H38:H39"/>
    <mergeCell ref="J40:J41"/>
    <mergeCell ref="K40:K41"/>
    <mergeCell ref="I38:I39"/>
    <mergeCell ref="J38:J39"/>
    <mergeCell ref="AB42:AB43"/>
    <mergeCell ref="Y40:Y41"/>
    <mergeCell ref="Z40:Z41"/>
    <mergeCell ref="AA40:AA41"/>
    <mergeCell ref="S40:S41"/>
    <mergeCell ref="T40:T41"/>
    <mergeCell ref="U40:U41"/>
    <mergeCell ref="V40:V41"/>
    <mergeCell ref="W40:W41"/>
    <mergeCell ref="X40:X41"/>
    <mergeCell ref="P40:P41"/>
    <mergeCell ref="Q40:Q41"/>
    <mergeCell ref="R40:R41"/>
    <mergeCell ref="Q42:Q43"/>
    <mergeCell ref="R42:R43"/>
    <mergeCell ref="D40:D41"/>
    <mergeCell ref="L40:L41"/>
    <mergeCell ref="M40:M41"/>
    <mergeCell ref="N40:N41"/>
    <mergeCell ref="O40:O41"/>
    <mergeCell ref="J42:J43"/>
    <mergeCell ref="K42:K43"/>
    <mergeCell ref="D36:D37"/>
    <mergeCell ref="E36:E37"/>
    <mergeCell ref="Y42:Y43"/>
    <mergeCell ref="Z42:Z43"/>
    <mergeCell ref="AA42:AA43"/>
    <mergeCell ref="J46:J47"/>
    <mergeCell ref="K46:K47"/>
    <mergeCell ref="L46:L47"/>
    <mergeCell ref="E44:E45"/>
    <mergeCell ref="F44:F45"/>
    <mergeCell ref="G44:G45"/>
    <mergeCell ref="H44:H45"/>
    <mergeCell ref="I44:I45"/>
    <mergeCell ref="J44:J45"/>
    <mergeCell ref="L42:L43"/>
    <mergeCell ref="M42:M43"/>
    <mergeCell ref="N42:N43"/>
    <mergeCell ref="O42:O43"/>
    <mergeCell ref="D42:D43"/>
    <mergeCell ref="E42:E43"/>
    <mergeCell ref="F42:F43"/>
    <mergeCell ref="G42:G43"/>
    <mergeCell ref="H42:H43"/>
    <mergeCell ref="I42:I43"/>
    <mergeCell ref="K44:K45"/>
    <mergeCell ref="L44:L45"/>
    <mergeCell ref="E40:E41"/>
    <mergeCell ref="F40:F41"/>
    <mergeCell ref="G40:G41"/>
    <mergeCell ref="H40:H41"/>
    <mergeCell ref="I40:I41"/>
    <mergeCell ref="O46:O47"/>
    <mergeCell ref="AB34:AB35"/>
    <mergeCell ref="J32:J33"/>
    <mergeCell ref="K32:K33"/>
    <mergeCell ref="L32:L33"/>
    <mergeCell ref="M32:M33"/>
    <mergeCell ref="N32:N33"/>
    <mergeCell ref="O32:O33"/>
    <mergeCell ref="V32:V33"/>
    <mergeCell ref="W32:W33"/>
    <mergeCell ref="X32:X33"/>
    <mergeCell ref="P32:P33"/>
    <mergeCell ref="AB30:AB31"/>
    <mergeCell ref="V38:V39"/>
    <mergeCell ref="AB36:AB37"/>
    <mergeCell ref="D34:D35"/>
    <mergeCell ref="E34:E35"/>
    <mergeCell ref="F34:F35"/>
    <mergeCell ref="G34:G35"/>
    <mergeCell ref="H34:H35"/>
    <mergeCell ref="I34:I35"/>
    <mergeCell ref="J34:J35"/>
    <mergeCell ref="K38:K39"/>
    <mergeCell ref="L38:L39"/>
    <mergeCell ref="Y36:Y37"/>
    <mergeCell ref="Z36:Z37"/>
    <mergeCell ref="AA36:AA37"/>
    <mergeCell ref="S36:S37"/>
    <mergeCell ref="T36:T37"/>
    <mergeCell ref="U36:U37"/>
    <mergeCell ref="V36:V37"/>
    <mergeCell ref="W36:W37"/>
    <mergeCell ref="AB38:AB39"/>
    <mergeCell ref="Q34:Q35"/>
    <mergeCell ref="R34:R35"/>
    <mergeCell ref="S34:S35"/>
    <mergeCell ref="T34:T35"/>
    <mergeCell ref="U34:U35"/>
    <mergeCell ref="M34:M35"/>
    <mergeCell ref="N34:N35"/>
    <mergeCell ref="O34:O35"/>
    <mergeCell ref="P34:P35"/>
    <mergeCell ref="K34:K35"/>
    <mergeCell ref="L34:L35"/>
    <mergeCell ref="X36:X37"/>
    <mergeCell ref="P36:P37"/>
    <mergeCell ref="Q36:Q37"/>
    <mergeCell ref="R36:R37"/>
    <mergeCell ref="K36:K37"/>
    <mergeCell ref="L36:L37"/>
    <mergeCell ref="M36:M37"/>
    <mergeCell ref="N36:N37"/>
    <mergeCell ref="O36:O37"/>
    <mergeCell ref="V34:V35"/>
    <mergeCell ref="W34:W35"/>
    <mergeCell ref="J28:J29"/>
    <mergeCell ref="K28:K29"/>
    <mergeCell ref="L28:L29"/>
    <mergeCell ref="D32:D33"/>
    <mergeCell ref="E32:E33"/>
    <mergeCell ref="F32:F33"/>
    <mergeCell ref="G32:G33"/>
    <mergeCell ref="H32:H33"/>
    <mergeCell ref="I32:I33"/>
    <mergeCell ref="V30:V31"/>
    <mergeCell ref="W30:W31"/>
    <mergeCell ref="X30:X31"/>
    <mergeCell ref="Y30:Y31"/>
    <mergeCell ref="Z30:Z31"/>
    <mergeCell ref="AA30:AA31"/>
    <mergeCell ref="Q30:Q31"/>
    <mergeCell ref="R30:R31"/>
    <mergeCell ref="S30:S31"/>
    <mergeCell ref="T30:T31"/>
    <mergeCell ref="U30:U31"/>
    <mergeCell ref="M30:M31"/>
    <mergeCell ref="N30:N31"/>
    <mergeCell ref="O30:O31"/>
    <mergeCell ref="P30:P31"/>
    <mergeCell ref="Y32:Y33"/>
    <mergeCell ref="Z32:Z33"/>
    <mergeCell ref="AA32:AA33"/>
    <mergeCell ref="S32:S33"/>
    <mergeCell ref="T32:T33"/>
    <mergeCell ref="U32:U33"/>
    <mergeCell ref="Q32:Q33"/>
    <mergeCell ref="R32:R33"/>
    <mergeCell ref="D22:D23"/>
    <mergeCell ref="E22:E23"/>
    <mergeCell ref="F22:F23"/>
    <mergeCell ref="G22:G23"/>
    <mergeCell ref="D28:D29"/>
    <mergeCell ref="E28:E29"/>
    <mergeCell ref="F28:F29"/>
    <mergeCell ref="G28:G29"/>
    <mergeCell ref="H28:H29"/>
    <mergeCell ref="I28:I29"/>
    <mergeCell ref="AB28:AB29"/>
    <mergeCell ref="AB32:AB33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Y28:Y29"/>
    <mergeCell ref="Z28:Z29"/>
    <mergeCell ref="AA28:AA29"/>
    <mergeCell ref="S28:S29"/>
    <mergeCell ref="T28:T29"/>
    <mergeCell ref="U28:U29"/>
    <mergeCell ref="V28:V29"/>
    <mergeCell ref="W28:W29"/>
    <mergeCell ref="X28:X29"/>
    <mergeCell ref="P28:P29"/>
    <mergeCell ref="Q28:Q29"/>
    <mergeCell ref="H26:H27"/>
    <mergeCell ref="I26:I27"/>
    <mergeCell ref="S26:S27"/>
    <mergeCell ref="T26:T27"/>
    <mergeCell ref="U26:U27"/>
    <mergeCell ref="V26:V27"/>
    <mergeCell ref="W26:W27"/>
    <mergeCell ref="X26:X27"/>
    <mergeCell ref="P26:P27"/>
    <mergeCell ref="Q26:Q27"/>
    <mergeCell ref="R26:R27"/>
    <mergeCell ref="AB22:AB23"/>
    <mergeCell ref="V22:V23"/>
    <mergeCell ref="W22:W23"/>
    <mergeCell ref="X22:X23"/>
    <mergeCell ref="Y22:Y23"/>
    <mergeCell ref="Z22:Z23"/>
    <mergeCell ref="AA22:AA23"/>
    <mergeCell ref="Q22:Q23"/>
    <mergeCell ref="R22:R23"/>
    <mergeCell ref="S22:S23"/>
    <mergeCell ref="T22:T23"/>
    <mergeCell ref="U22:U23"/>
    <mergeCell ref="M22:M23"/>
    <mergeCell ref="K22:K23"/>
    <mergeCell ref="L22:L23"/>
    <mergeCell ref="Y26:Y27"/>
    <mergeCell ref="Z26:Z27"/>
    <mergeCell ref="AA26:AA27"/>
    <mergeCell ref="AB24:AB25"/>
    <mergeCell ref="D24:D25"/>
    <mergeCell ref="E24:E25"/>
    <mergeCell ref="F24:F25"/>
    <mergeCell ref="G24:G25"/>
    <mergeCell ref="H24:H25"/>
    <mergeCell ref="I24:I25"/>
    <mergeCell ref="D16:D17"/>
    <mergeCell ref="J24:J25"/>
    <mergeCell ref="K24:K25"/>
    <mergeCell ref="L24:L25"/>
    <mergeCell ref="M24:M25"/>
    <mergeCell ref="AB26:AB27"/>
    <mergeCell ref="Y24:Y25"/>
    <mergeCell ref="Z24:Z25"/>
    <mergeCell ref="AA24:AA25"/>
    <mergeCell ref="S24:S25"/>
    <mergeCell ref="T24:T25"/>
    <mergeCell ref="U24:U25"/>
    <mergeCell ref="V24:V25"/>
    <mergeCell ref="W24:W25"/>
    <mergeCell ref="X24:X25"/>
    <mergeCell ref="P24:P25"/>
    <mergeCell ref="Q24:Q25"/>
    <mergeCell ref="R24:R25"/>
    <mergeCell ref="J26:J27"/>
    <mergeCell ref="K26:K27"/>
    <mergeCell ref="L26:L27"/>
    <mergeCell ref="M26:M27"/>
    <mergeCell ref="N26:N27"/>
    <mergeCell ref="O26:O27"/>
    <mergeCell ref="D26:D27"/>
    <mergeCell ref="Z16:Z17"/>
    <mergeCell ref="U7:X7"/>
    <mergeCell ref="Z7:Z8"/>
    <mergeCell ref="AA7:AA8"/>
    <mergeCell ref="Q7:T7"/>
    <mergeCell ref="O12:O13"/>
    <mergeCell ref="P12:P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AB12:AB13"/>
    <mergeCell ref="V12:V13"/>
    <mergeCell ref="W12:W13"/>
    <mergeCell ref="X12:X13"/>
    <mergeCell ref="Y12:Y13"/>
    <mergeCell ref="Z12:Z13"/>
    <mergeCell ref="M12:M13"/>
    <mergeCell ref="N12:N13"/>
    <mergeCell ref="AA16:AA17"/>
    <mergeCell ref="S42:S43"/>
    <mergeCell ref="T42:T43"/>
    <mergeCell ref="U42:U43"/>
    <mergeCell ref="V42:V43"/>
    <mergeCell ref="W42:W43"/>
    <mergeCell ref="X42:X43"/>
    <mergeCell ref="P42:P43"/>
    <mergeCell ref="R28:R29"/>
    <mergeCell ref="X38:X39"/>
    <mergeCell ref="Y38:Y39"/>
    <mergeCell ref="Z38:Z39"/>
    <mergeCell ref="AA38:AA39"/>
    <mergeCell ref="Q38:Q39"/>
    <mergeCell ref="R38:R39"/>
    <mergeCell ref="S38:S39"/>
    <mergeCell ref="T38:T39"/>
    <mergeCell ref="U38:U39"/>
    <mergeCell ref="AA18:AA19"/>
    <mergeCell ref="P16:P17"/>
    <mergeCell ref="Q16:Q17"/>
    <mergeCell ref="R16:R17"/>
    <mergeCell ref="S16:S17"/>
    <mergeCell ref="T16:T17"/>
    <mergeCell ref="U16:U17"/>
    <mergeCell ref="V16:V17"/>
    <mergeCell ref="W16:W17"/>
    <mergeCell ref="X34:X35"/>
    <mergeCell ref="Y34:Y35"/>
    <mergeCell ref="Z34:Z35"/>
    <mergeCell ref="AA34:AA35"/>
    <mergeCell ref="P20:P21"/>
    <mergeCell ref="D18:D19"/>
    <mergeCell ref="H80:H81"/>
    <mergeCell ref="H82:H83"/>
    <mergeCell ref="H84:H85"/>
    <mergeCell ref="M80:M81"/>
    <mergeCell ref="M82:M83"/>
    <mergeCell ref="X78:X79"/>
    <mergeCell ref="Y78:Y79"/>
    <mergeCell ref="Z78:Z79"/>
    <mergeCell ref="AA78:AA79"/>
    <mergeCell ref="AB78:AB79"/>
    <mergeCell ref="A1:AB1"/>
    <mergeCell ref="A6:A9"/>
    <mergeCell ref="B6:B9"/>
    <mergeCell ref="D6:D9"/>
    <mergeCell ref="E6:E9"/>
    <mergeCell ref="F6:P6"/>
    <mergeCell ref="Q6:AB6"/>
    <mergeCell ref="F7:I7"/>
    <mergeCell ref="J7:M7"/>
    <mergeCell ref="AB7:AB9"/>
    <mergeCell ref="P76:P77"/>
    <mergeCell ref="AA12:AA13"/>
    <mergeCell ref="Q12:Q13"/>
    <mergeCell ref="R12:R13"/>
    <mergeCell ref="S12:S13"/>
    <mergeCell ref="T12:T13"/>
    <mergeCell ref="U12:U13"/>
    <mergeCell ref="N24:N25"/>
    <mergeCell ref="O24:O25"/>
    <mergeCell ref="N22:N23"/>
    <mergeCell ref="O22:O23"/>
    <mergeCell ref="AA90:AA91"/>
    <mergeCell ref="T88:T89"/>
    <mergeCell ref="U88:U89"/>
    <mergeCell ref="V88:V89"/>
    <mergeCell ref="W88:W89"/>
    <mergeCell ref="X88:X89"/>
    <mergeCell ref="Y88:Y89"/>
    <mergeCell ref="Z88:Z89"/>
    <mergeCell ref="AA88:AA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E90:E91"/>
    <mergeCell ref="F90:F91"/>
    <mergeCell ref="G90:G91"/>
    <mergeCell ref="H90:H91"/>
    <mergeCell ref="I90:I91"/>
    <mergeCell ref="J90:J91"/>
    <mergeCell ref="K90:K91"/>
    <mergeCell ref="L90:L91"/>
    <mergeCell ref="C92:C93"/>
    <mergeCell ref="V92:V93"/>
    <mergeCell ref="W92:W93"/>
    <mergeCell ref="X92:X93"/>
    <mergeCell ref="C118:C119"/>
    <mergeCell ref="D118:D119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M92:M93"/>
    <mergeCell ref="N92:N93"/>
    <mergeCell ref="O92:O93"/>
    <mergeCell ref="P92:P93"/>
    <mergeCell ref="Q92:Q93"/>
    <mergeCell ref="R92:R93"/>
    <mergeCell ref="S92:S93"/>
    <mergeCell ref="T92:T93"/>
    <mergeCell ref="C112:C113"/>
    <mergeCell ref="D112:D113"/>
    <mergeCell ref="C114:C115"/>
    <mergeCell ref="D114:D115"/>
    <mergeCell ref="C116:C117"/>
    <mergeCell ref="D116:D117"/>
    <mergeCell ref="C94:C95"/>
    <mergeCell ref="M38:M39"/>
    <mergeCell ref="E92:E93"/>
    <mergeCell ref="F92:F93"/>
    <mergeCell ref="G92:G93"/>
    <mergeCell ref="H92:H93"/>
    <mergeCell ref="T68:T69"/>
    <mergeCell ref="U68:U69"/>
    <mergeCell ref="D92:D93"/>
    <mergeCell ref="D90:D91"/>
    <mergeCell ref="P22:P23"/>
    <mergeCell ref="N38:N39"/>
    <mergeCell ref="E26:E27"/>
    <mergeCell ref="F26:F27"/>
    <mergeCell ref="G26:G27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U92:U93"/>
    <mergeCell ref="F36:F37"/>
    <mergeCell ref="G36:G37"/>
    <mergeCell ref="H36:H37"/>
    <mergeCell ref="I36:I37"/>
    <mergeCell ref="I92:I93"/>
    <mergeCell ref="J92:J93"/>
    <mergeCell ref="K92:K93"/>
    <mergeCell ref="L92:L93"/>
    <mergeCell ref="F20:F21"/>
    <mergeCell ref="H20:H21"/>
    <mergeCell ref="I20:I21"/>
    <mergeCell ref="J20:J21"/>
    <mergeCell ref="K20:K21"/>
    <mergeCell ref="L20:L21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M20:M21"/>
    <mergeCell ref="O20:O21"/>
    <mergeCell ref="C18:C19"/>
    <mergeCell ref="H22:H23"/>
    <mergeCell ref="I22:I23"/>
    <mergeCell ref="J22:J23"/>
    <mergeCell ref="M28:M29"/>
    <mergeCell ref="N28:N29"/>
    <mergeCell ref="O28:O29"/>
    <mergeCell ref="T18:T19"/>
    <mergeCell ref="U18:U19"/>
    <mergeCell ref="V18:V19"/>
    <mergeCell ref="W18:W19"/>
    <mergeCell ref="X18:X19"/>
    <mergeCell ref="P18:P19"/>
    <mergeCell ref="Q18:Q19"/>
    <mergeCell ref="R18:R19"/>
    <mergeCell ref="S18:S19"/>
    <mergeCell ref="V90:V91"/>
    <mergeCell ref="W90:W91"/>
    <mergeCell ref="X90:X91"/>
    <mergeCell ref="V54:V55"/>
    <mergeCell ref="O38:O39"/>
    <mergeCell ref="P38:P39"/>
    <mergeCell ref="M46:M47"/>
    <mergeCell ref="N46:N47"/>
    <mergeCell ref="W38:W39"/>
    <mergeCell ref="E20:E21"/>
    <mergeCell ref="O56:O57"/>
    <mergeCell ref="P56:P57"/>
    <mergeCell ref="J36:J37"/>
    <mergeCell ref="Q46:Q47"/>
    <mergeCell ref="R46:R47"/>
    <mergeCell ref="N56:N57"/>
    <mergeCell ref="AB16:AB17"/>
    <mergeCell ref="Y92:Y93"/>
    <mergeCell ref="Z92:Z93"/>
    <mergeCell ref="AA92:AA93"/>
    <mergeCell ref="AB88:AB89"/>
    <mergeCell ref="AB90:AB91"/>
    <mergeCell ref="AB18:AB19"/>
    <mergeCell ref="AB92:AB93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X46:X47"/>
    <mergeCell ref="P46:P47"/>
    <mergeCell ref="P66:P67"/>
    <mergeCell ref="P68:P69"/>
    <mergeCell ref="Q68:Q69"/>
    <mergeCell ref="X16:X17"/>
    <mergeCell ref="Y16:Y17"/>
    <mergeCell ref="Y18:Y19"/>
    <mergeCell ref="Z18:Z19"/>
    <mergeCell ref="Y90:Y91"/>
    <mergeCell ref="Z90:Z91"/>
    <mergeCell ref="X62:X63"/>
    <mergeCell ref="Y62:Y63"/>
    <mergeCell ref="D94:D95"/>
    <mergeCell ref="C96:C97"/>
    <mergeCell ref="D96:D97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P94:P95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B98:AB99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E98:E99"/>
    <mergeCell ref="F98:F99"/>
    <mergeCell ref="V98:V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W98:W99"/>
    <mergeCell ref="AA104:AA105"/>
    <mergeCell ref="X98:X99"/>
    <mergeCell ref="Y98:Y99"/>
    <mergeCell ref="Z98:Z99"/>
    <mergeCell ref="AA98:AA99"/>
    <mergeCell ref="AB104:AB105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E106:E107"/>
    <mergeCell ref="F106:F107"/>
    <mergeCell ref="V106:V107"/>
    <mergeCell ref="V102:V103"/>
    <mergeCell ref="W102:W103"/>
    <mergeCell ref="X102:X103"/>
    <mergeCell ref="Y102:Y103"/>
    <mergeCell ref="Z102:Z103"/>
    <mergeCell ref="AA102:AA103"/>
    <mergeCell ref="AB102:AB103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W106:W107"/>
    <mergeCell ref="AB112:AB113"/>
    <mergeCell ref="X106:X107"/>
    <mergeCell ref="Y106:Y107"/>
    <mergeCell ref="Z106:Z107"/>
    <mergeCell ref="AA106:AA107"/>
    <mergeCell ref="AB106:AB107"/>
    <mergeCell ref="V108:V109"/>
    <mergeCell ref="W108:W109"/>
    <mergeCell ref="X108:X109"/>
    <mergeCell ref="Y108:Y109"/>
    <mergeCell ref="Z108:Z109"/>
    <mergeCell ref="AA108:AA109"/>
    <mergeCell ref="AB108:AB109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T114:T115"/>
    <mergeCell ref="U114:U115"/>
    <mergeCell ref="V110:V111"/>
    <mergeCell ref="W110:W111"/>
    <mergeCell ref="X110:X111"/>
    <mergeCell ref="Y110:Y111"/>
    <mergeCell ref="Z110:Z111"/>
    <mergeCell ref="AA110:AA111"/>
    <mergeCell ref="AB110:AB111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8:AB119"/>
    <mergeCell ref="V114:V115"/>
    <mergeCell ref="W114:W115"/>
    <mergeCell ref="X114:X115"/>
    <mergeCell ref="Y114:Y115"/>
    <mergeCell ref="Z114:Z115"/>
    <mergeCell ref="AA114:AA115"/>
    <mergeCell ref="AB114:AB115"/>
    <mergeCell ref="V116:V117"/>
    <mergeCell ref="W116:W117"/>
    <mergeCell ref="X116:X117"/>
    <mergeCell ref="Y116:Y117"/>
    <mergeCell ref="Z116:Z117"/>
    <mergeCell ref="AA116:AA117"/>
    <mergeCell ref="AB116:AB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U129:AA129"/>
    <mergeCell ref="E120:E121"/>
    <mergeCell ref="E122:E123"/>
    <mergeCell ref="E124:E125"/>
    <mergeCell ref="O7:O8"/>
    <mergeCell ref="P7:P8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</mergeCells>
  <pageMargins left="0.38" right="0.15748031496062992" top="0.44" bottom="0.22" header="0.44" footer="0.2"/>
  <pageSetup paperSize="10002" scale="7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3"/>
  <sheetViews>
    <sheetView topLeftCell="A101" workbookViewId="0">
      <selection activeCell="N114" sqref="N114"/>
    </sheetView>
  </sheetViews>
  <sheetFormatPr defaultRowHeight="15" x14ac:dyDescent="0.25"/>
  <cols>
    <col min="1" max="1" width="3.5703125" customWidth="1"/>
    <col min="2" max="2" width="27.7109375" customWidth="1"/>
    <col min="3" max="3" width="15.42578125" style="8" customWidth="1"/>
    <col min="4" max="4" width="26.28515625" customWidth="1"/>
    <col min="5" max="5" width="15.7109375" style="2" customWidth="1"/>
    <col min="6" max="6" width="13.85546875" style="2" customWidth="1"/>
    <col min="7" max="7" width="10" style="2" customWidth="1"/>
    <col min="8" max="8" width="9.85546875" style="2" customWidth="1"/>
    <col min="9" max="9" width="13.5703125" customWidth="1"/>
  </cols>
  <sheetData>
    <row r="1" spans="1:10" ht="15.75" x14ac:dyDescent="0.25">
      <c r="A1" s="8"/>
      <c r="B1" s="386" t="s">
        <v>0</v>
      </c>
      <c r="C1" s="386"/>
      <c r="D1" s="386"/>
      <c r="E1" s="386"/>
      <c r="F1" s="386"/>
      <c r="G1" s="386"/>
      <c r="H1" s="386"/>
      <c r="I1" s="386"/>
      <c r="J1" s="202"/>
    </row>
    <row r="2" spans="1:10" x14ac:dyDescent="0.25">
      <c r="A2" s="11"/>
      <c r="B2" s="11"/>
      <c r="C2" s="11"/>
      <c r="D2" s="11"/>
      <c r="E2" s="12"/>
      <c r="F2" s="12"/>
      <c r="G2" s="12"/>
      <c r="H2" s="12"/>
      <c r="I2" s="11"/>
    </row>
    <row r="3" spans="1:10" x14ac:dyDescent="0.25">
      <c r="A3" s="11" t="s">
        <v>84</v>
      </c>
      <c r="B3" s="11"/>
      <c r="C3" s="9" t="s">
        <v>453</v>
      </c>
      <c r="D3" s="9"/>
      <c r="E3" s="12"/>
      <c r="F3" s="12"/>
      <c r="G3" s="12"/>
      <c r="H3" s="12"/>
      <c r="I3" s="11"/>
    </row>
    <row r="4" spans="1:10" x14ac:dyDescent="0.25">
      <c r="A4" s="11" t="s">
        <v>90</v>
      </c>
      <c r="B4" s="11"/>
      <c r="C4" s="247" t="s">
        <v>470</v>
      </c>
      <c r="D4" s="128"/>
      <c r="E4" s="12"/>
      <c r="F4" s="12"/>
      <c r="G4" s="12"/>
      <c r="H4" s="12"/>
      <c r="I4" s="11"/>
    </row>
    <row r="5" spans="1:10" ht="11.25" customHeight="1" x14ac:dyDescent="0.25">
      <c r="A5" s="11"/>
      <c r="B5" s="11"/>
      <c r="C5" s="11"/>
      <c r="D5" s="11"/>
      <c r="E5" s="12"/>
      <c r="F5" s="12"/>
      <c r="G5" s="12"/>
      <c r="H5" s="12"/>
      <c r="I5" s="11"/>
    </row>
    <row r="6" spans="1:10" ht="30" customHeight="1" x14ac:dyDescent="0.25">
      <c r="A6" s="387" t="s">
        <v>1</v>
      </c>
      <c r="B6" s="387" t="s">
        <v>21</v>
      </c>
      <c r="C6" s="367" t="s">
        <v>257</v>
      </c>
      <c r="D6" s="387" t="s">
        <v>4</v>
      </c>
      <c r="E6" s="367" t="s">
        <v>5</v>
      </c>
      <c r="F6" s="396" t="s">
        <v>6</v>
      </c>
      <c r="G6" s="396"/>
      <c r="H6" s="396"/>
      <c r="I6" s="367" t="s">
        <v>9</v>
      </c>
    </row>
    <row r="7" spans="1:10" x14ac:dyDescent="0.25">
      <c r="A7" s="388"/>
      <c r="B7" s="388"/>
      <c r="C7" s="368"/>
      <c r="D7" s="388"/>
      <c r="E7" s="368"/>
      <c r="F7" s="13" t="s">
        <v>256</v>
      </c>
      <c r="G7" s="13" t="s">
        <v>7</v>
      </c>
      <c r="H7" s="13" t="s">
        <v>255</v>
      </c>
      <c r="I7" s="368"/>
    </row>
    <row r="8" spans="1:10" ht="13.5" customHeight="1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</row>
    <row r="9" spans="1:10" s="8" customFormat="1" ht="6.75" customHeight="1" x14ac:dyDescent="0.25">
      <c r="A9" s="162"/>
      <c r="B9" s="163"/>
      <c r="C9" s="162"/>
      <c r="D9" s="162"/>
      <c r="E9" s="164"/>
      <c r="F9" s="164"/>
      <c r="G9" s="164"/>
      <c r="H9" s="164"/>
      <c r="I9" s="162"/>
    </row>
    <row r="10" spans="1:10" s="8" customFormat="1" ht="14.1" customHeight="1" x14ac:dyDescent="0.25">
      <c r="A10" s="285">
        <v>1</v>
      </c>
      <c r="B10" s="44" t="s">
        <v>465</v>
      </c>
      <c r="C10" s="351" t="s">
        <v>258</v>
      </c>
      <c r="D10" s="367" t="s">
        <v>469</v>
      </c>
      <c r="E10" s="407">
        <v>9020</v>
      </c>
      <c r="F10" s="381" t="s">
        <v>330</v>
      </c>
      <c r="G10" s="381" t="s">
        <v>331</v>
      </c>
      <c r="H10" s="381" t="s">
        <v>331</v>
      </c>
      <c r="I10" s="381">
        <v>1</v>
      </c>
    </row>
    <row r="11" spans="1:10" ht="14.1" customHeight="1" x14ac:dyDescent="0.25">
      <c r="A11" s="286"/>
      <c r="B11" s="316" t="s">
        <v>468</v>
      </c>
      <c r="C11" s="352"/>
      <c r="D11" s="368"/>
      <c r="E11" s="408"/>
      <c r="F11" s="382"/>
      <c r="G11" s="382"/>
      <c r="H11" s="382"/>
      <c r="I11" s="382"/>
    </row>
    <row r="12" spans="1:10" ht="14.1" customHeight="1" x14ac:dyDescent="0.25">
      <c r="A12" s="285">
        <v>2</v>
      </c>
      <c r="B12" s="265" t="s">
        <v>133</v>
      </c>
      <c r="C12" s="367" t="s">
        <v>258</v>
      </c>
      <c r="D12" s="367" t="s">
        <v>461</v>
      </c>
      <c r="E12" s="420">
        <v>8460</v>
      </c>
      <c r="F12" s="381" t="s">
        <v>330</v>
      </c>
      <c r="G12" s="381" t="s">
        <v>331</v>
      </c>
      <c r="H12" s="381" t="s">
        <v>331</v>
      </c>
      <c r="I12" s="381">
        <v>1</v>
      </c>
    </row>
    <row r="13" spans="1:10" s="8" customFormat="1" ht="14.1" customHeight="1" x14ac:dyDescent="0.25">
      <c r="A13" s="13"/>
      <c r="B13" s="264" t="s">
        <v>134</v>
      </c>
      <c r="C13" s="368"/>
      <c r="D13" s="368"/>
      <c r="E13" s="408"/>
      <c r="F13" s="382"/>
      <c r="G13" s="382"/>
      <c r="H13" s="382"/>
      <c r="I13" s="382"/>
    </row>
    <row r="14" spans="1:10" s="8" customFormat="1" ht="14.1" customHeight="1" x14ac:dyDescent="0.25">
      <c r="A14" s="285">
        <v>3</v>
      </c>
      <c r="B14" s="265" t="s">
        <v>136</v>
      </c>
      <c r="C14" s="367" t="s">
        <v>259</v>
      </c>
      <c r="D14" s="351" t="s">
        <v>275</v>
      </c>
      <c r="E14" s="393">
        <v>8400</v>
      </c>
      <c r="F14" s="397" t="s">
        <v>330</v>
      </c>
      <c r="G14" s="397" t="s">
        <v>331</v>
      </c>
      <c r="H14" s="381" t="s">
        <v>331</v>
      </c>
      <c r="I14" s="381">
        <v>1</v>
      </c>
    </row>
    <row r="15" spans="1:10" ht="14.1" customHeight="1" x14ac:dyDescent="0.25">
      <c r="A15" s="286"/>
      <c r="B15" s="296" t="s">
        <v>135</v>
      </c>
      <c r="C15" s="370"/>
      <c r="D15" s="369"/>
      <c r="E15" s="404"/>
      <c r="F15" s="379"/>
      <c r="G15" s="379"/>
      <c r="H15" s="382"/>
      <c r="I15" s="382"/>
    </row>
    <row r="16" spans="1:10" ht="14.1" customHeight="1" x14ac:dyDescent="0.25">
      <c r="A16" s="285">
        <v>4</v>
      </c>
      <c r="B16" s="297" t="s">
        <v>244</v>
      </c>
      <c r="C16" s="367" t="s">
        <v>259</v>
      </c>
      <c r="D16" s="351" t="s">
        <v>274</v>
      </c>
      <c r="E16" s="393">
        <v>6870</v>
      </c>
      <c r="F16" s="378" t="s">
        <v>330</v>
      </c>
      <c r="G16" s="378" t="s">
        <v>331</v>
      </c>
      <c r="H16" s="378" t="s">
        <v>331</v>
      </c>
      <c r="I16" s="381">
        <v>1</v>
      </c>
    </row>
    <row r="17" spans="1:9" ht="14.1" customHeight="1" x14ac:dyDescent="0.25">
      <c r="A17" s="286"/>
      <c r="B17" s="270" t="s">
        <v>240</v>
      </c>
      <c r="C17" s="370"/>
      <c r="D17" s="352"/>
      <c r="E17" s="404"/>
      <c r="F17" s="379"/>
      <c r="G17" s="379"/>
      <c r="H17" s="380"/>
      <c r="I17" s="382"/>
    </row>
    <row r="18" spans="1:9" ht="14.1" customHeight="1" x14ac:dyDescent="0.25">
      <c r="A18" s="285">
        <v>5</v>
      </c>
      <c r="B18" s="298" t="s">
        <v>348</v>
      </c>
      <c r="C18" s="383" t="s">
        <v>259</v>
      </c>
      <c r="D18" s="351" t="s">
        <v>350</v>
      </c>
      <c r="E18" s="403">
        <v>7643</v>
      </c>
      <c r="F18" s="400" t="s">
        <v>330</v>
      </c>
      <c r="G18" s="400" t="s">
        <v>331</v>
      </c>
      <c r="H18" s="400" t="s">
        <v>331</v>
      </c>
      <c r="I18" s="398">
        <v>1</v>
      </c>
    </row>
    <row r="19" spans="1:9" s="8" customFormat="1" ht="14.1" customHeight="1" x14ac:dyDescent="0.25">
      <c r="A19" s="286"/>
      <c r="B19" s="272" t="s">
        <v>349</v>
      </c>
      <c r="C19" s="384"/>
      <c r="D19" s="369"/>
      <c r="E19" s="404"/>
      <c r="F19" s="401"/>
      <c r="G19" s="401"/>
      <c r="H19" s="402"/>
      <c r="I19" s="399"/>
    </row>
    <row r="20" spans="1:9" s="8" customFormat="1" ht="14.1" customHeight="1" x14ac:dyDescent="0.25">
      <c r="A20" s="285">
        <v>6</v>
      </c>
      <c r="B20" s="299" t="s">
        <v>140</v>
      </c>
      <c r="C20" s="367" t="s">
        <v>261</v>
      </c>
      <c r="D20" s="351" t="s">
        <v>278</v>
      </c>
      <c r="E20" s="403">
        <v>7400</v>
      </c>
      <c r="F20" s="378" t="s">
        <v>330</v>
      </c>
      <c r="G20" s="378" t="s">
        <v>331</v>
      </c>
      <c r="H20" s="378" t="s">
        <v>331</v>
      </c>
      <c r="I20" s="381">
        <v>1</v>
      </c>
    </row>
    <row r="21" spans="1:9" s="8" customFormat="1" ht="14.1" customHeight="1" x14ac:dyDescent="0.25">
      <c r="A21" s="259"/>
      <c r="B21" s="264" t="s">
        <v>139</v>
      </c>
      <c r="C21" s="368"/>
      <c r="D21" s="352"/>
      <c r="E21" s="404"/>
      <c r="F21" s="379"/>
      <c r="G21" s="379"/>
      <c r="H21" s="380"/>
      <c r="I21" s="382"/>
    </row>
    <row r="22" spans="1:9" s="8" customFormat="1" ht="14.1" customHeight="1" x14ac:dyDescent="0.25">
      <c r="A22" s="285">
        <v>7</v>
      </c>
      <c r="B22" s="265" t="s">
        <v>175</v>
      </c>
      <c r="C22" s="367" t="s">
        <v>261</v>
      </c>
      <c r="D22" s="351" t="s">
        <v>276</v>
      </c>
      <c r="E22" s="389">
        <v>7700</v>
      </c>
      <c r="F22" s="378" t="s">
        <v>330</v>
      </c>
      <c r="G22" s="378" t="s">
        <v>331</v>
      </c>
      <c r="H22" s="378" t="s">
        <v>331</v>
      </c>
      <c r="I22" s="381">
        <v>1</v>
      </c>
    </row>
    <row r="23" spans="1:9" s="8" customFormat="1" ht="14.1" customHeight="1" x14ac:dyDescent="0.25">
      <c r="A23" s="286"/>
      <c r="B23" s="264" t="s">
        <v>174</v>
      </c>
      <c r="C23" s="368"/>
      <c r="D23" s="352"/>
      <c r="E23" s="390"/>
      <c r="F23" s="379"/>
      <c r="G23" s="379"/>
      <c r="H23" s="380"/>
      <c r="I23" s="382"/>
    </row>
    <row r="24" spans="1:9" s="8" customFormat="1" ht="14.1" customHeight="1" x14ac:dyDescent="0.25">
      <c r="A24" s="260">
        <v>8</v>
      </c>
      <c r="B24" s="265" t="s">
        <v>138</v>
      </c>
      <c r="C24" s="367" t="s">
        <v>261</v>
      </c>
      <c r="D24" s="351" t="s">
        <v>382</v>
      </c>
      <c r="E24" s="389">
        <v>7870</v>
      </c>
      <c r="F24" s="378" t="s">
        <v>330</v>
      </c>
      <c r="G24" s="378" t="s">
        <v>331</v>
      </c>
      <c r="H24" s="378" t="s">
        <v>331</v>
      </c>
      <c r="I24" s="381">
        <v>1</v>
      </c>
    </row>
    <row r="25" spans="1:9" s="8" customFormat="1" ht="14.1" customHeight="1" x14ac:dyDescent="0.25">
      <c r="A25" s="262"/>
      <c r="B25" s="264" t="s">
        <v>137</v>
      </c>
      <c r="C25" s="368"/>
      <c r="D25" s="369"/>
      <c r="E25" s="390"/>
      <c r="F25" s="379"/>
      <c r="G25" s="379"/>
      <c r="H25" s="380"/>
      <c r="I25" s="382"/>
    </row>
    <row r="26" spans="1:9" s="8" customFormat="1" ht="20.25" customHeight="1" x14ac:dyDescent="0.25">
      <c r="A26" s="285">
        <v>9</v>
      </c>
      <c r="B26" s="261" t="s">
        <v>34</v>
      </c>
      <c r="C26" s="351" t="s">
        <v>259</v>
      </c>
      <c r="D26" s="351" t="s">
        <v>382</v>
      </c>
      <c r="E26" s="413">
        <v>7025</v>
      </c>
      <c r="F26" s="378" t="s">
        <v>330</v>
      </c>
      <c r="G26" s="378" t="s">
        <v>331</v>
      </c>
      <c r="H26" s="378" t="s">
        <v>331</v>
      </c>
      <c r="I26" s="381">
        <v>1</v>
      </c>
    </row>
    <row r="27" spans="1:9" s="8" customFormat="1" ht="18.75" customHeight="1" x14ac:dyDescent="0.25">
      <c r="A27" s="286"/>
      <c r="B27" s="263" t="s">
        <v>141</v>
      </c>
      <c r="C27" s="352"/>
      <c r="D27" s="369"/>
      <c r="E27" s="413"/>
      <c r="F27" s="379"/>
      <c r="G27" s="379"/>
      <c r="H27" s="380"/>
      <c r="I27" s="382"/>
    </row>
    <row r="28" spans="1:9" ht="14.1" customHeight="1" x14ac:dyDescent="0.25">
      <c r="A28" s="285">
        <v>10</v>
      </c>
      <c r="B28" s="261" t="s">
        <v>35</v>
      </c>
      <c r="C28" s="367" t="s">
        <v>261</v>
      </c>
      <c r="D28" s="371" t="s">
        <v>351</v>
      </c>
      <c r="E28" s="403">
        <v>8355</v>
      </c>
      <c r="F28" s="378" t="s">
        <v>330</v>
      </c>
      <c r="G28" s="378" t="s">
        <v>331</v>
      </c>
      <c r="H28" s="378" t="s">
        <v>331</v>
      </c>
      <c r="I28" s="381">
        <v>1</v>
      </c>
    </row>
    <row r="29" spans="1:9" ht="14.1" customHeight="1" x14ac:dyDescent="0.25">
      <c r="A29" s="286"/>
      <c r="B29" s="300" t="s">
        <v>142</v>
      </c>
      <c r="C29" s="368"/>
      <c r="D29" s="405"/>
      <c r="E29" s="404"/>
      <c r="F29" s="379"/>
      <c r="G29" s="379"/>
      <c r="H29" s="380"/>
      <c r="I29" s="382"/>
    </row>
    <row r="30" spans="1:9" ht="14.1" customHeight="1" x14ac:dyDescent="0.25">
      <c r="A30" s="285">
        <v>11</v>
      </c>
      <c r="B30" s="261" t="s">
        <v>79</v>
      </c>
      <c r="C30" s="367" t="s">
        <v>259</v>
      </c>
      <c r="D30" s="351" t="s">
        <v>382</v>
      </c>
      <c r="E30" s="403">
        <v>8420</v>
      </c>
      <c r="F30" s="378" t="s">
        <v>330</v>
      </c>
      <c r="G30" s="378" t="s">
        <v>331</v>
      </c>
      <c r="H30" s="378" t="s">
        <v>331</v>
      </c>
      <c r="I30" s="381">
        <v>1</v>
      </c>
    </row>
    <row r="31" spans="1:9" ht="14.1" customHeight="1" x14ac:dyDescent="0.25">
      <c r="A31" s="286"/>
      <c r="B31" s="263" t="s">
        <v>143</v>
      </c>
      <c r="C31" s="370"/>
      <c r="D31" s="369"/>
      <c r="E31" s="404"/>
      <c r="F31" s="379"/>
      <c r="G31" s="379"/>
      <c r="H31" s="380"/>
      <c r="I31" s="382"/>
    </row>
    <row r="32" spans="1:9" ht="21.75" customHeight="1" x14ac:dyDescent="0.25">
      <c r="A32" s="285">
        <v>12</v>
      </c>
      <c r="B32" s="265" t="s">
        <v>145</v>
      </c>
      <c r="C32" s="367" t="s">
        <v>261</v>
      </c>
      <c r="D32" s="367" t="s">
        <v>326</v>
      </c>
      <c r="E32" s="403">
        <v>6885</v>
      </c>
      <c r="F32" s="378" t="s">
        <v>330</v>
      </c>
      <c r="G32" s="378" t="s">
        <v>331</v>
      </c>
      <c r="H32" s="378" t="s">
        <v>331</v>
      </c>
      <c r="I32" s="381">
        <v>1</v>
      </c>
    </row>
    <row r="33" spans="1:9" ht="18.75" customHeight="1" x14ac:dyDescent="0.25">
      <c r="A33" s="286"/>
      <c r="B33" s="264" t="s">
        <v>144</v>
      </c>
      <c r="C33" s="368"/>
      <c r="D33" s="368"/>
      <c r="E33" s="404"/>
      <c r="F33" s="379"/>
      <c r="G33" s="379"/>
      <c r="H33" s="380"/>
      <c r="I33" s="382"/>
    </row>
    <row r="34" spans="1:9" ht="14.1" customHeight="1" x14ac:dyDescent="0.25">
      <c r="A34" s="285">
        <v>13</v>
      </c>
      <c r="B34" s="265" t="s">
        <v>147</v>
      </c>
      <c r="C34" s="367" t="s">
        <v>261</v>
      </c>
      <c r="D34" s="371" t="s">
        <v>327</v>
      </c>
      <c r="E34" s="409"/>
      <c r="F34" s="391"/>
      <c r="G34" s="391"/>
      <c r="H34" s="391"/>
      <c r="I34" s="394">
        <v>0</v>
      </c>
    </row>
    <row r="35" spans="1:9" ht="14.1" customHeight="1" x14ac:dyDescent="0.25">
      <c r="A35" s="286"/>
      <c r="B35" s="266" t="s">
        <v>146</v>
      </c>
      <c r="C35" s="368"/>
      <c r="D35" s="372"/>
      <c r="E35" s="410"/>
      <c r="F35" s="392"/>
      <c r="G35" s="392"/>
      <c r="H35" s="406"/>
      <c r="I35" s="395"/>
    </row>
    <row r="36" spans="1:9" ht="14.1" customHeight="1" x14ac:dyDescent="0.25">
      <c r="A36" s="285">
        <v>14</v>
      </c>
      <c r="B36" s="265" t="s">
        <v>173</v>
      </c>
      <c r="C36" s="367" t="s">
        <v>261</v>
      </c>
      <c r="D36" s="371" t="s">
        <v>464</v>
      </c>
      <c r="E36" s="403">
        <v>7655</v>
      </c>
      <c r="F36" s="378" t="s">
        <v>330</v>
      </c>
      <c r="G36" s="378" t="s">
        <v>331</v>
      </c>
      <c r="H36" s="378" t="s">
        <v>331</v>
      </c>
      <c r="I36" s="381">
        <v>1</v>
      </c>
    </row>
    <row r="37" spans="1:9" ht="14.1" customHeight="1" x14ac:dyDescent="0.25">
      <c r="A37" s="286"/>
      <c r="B37" s="266" t="s">
        <v>172</v>
      </c>
      <c r="C37" s="368"/>
      <c r="D37" s="372"/>
      <c r="E37" s="404"/>
      <c r="F37" s="379"/>
      <c r="G37" s="379"/>
      <c r="H37" s="380"/>
      <c r="I37" s="382"/>
    </row>
    <row r="38" spans="1:9" ht="14.1" customHeight="1" x14ac:dyDescent="0.25">
      <c r="A38" s="285">
        <v>15</v>
      </c>
      <c r="B38" s="265" t="s">
        <v>48</v>
      </c>
      <c r="C38" s="367" t="s">
        <v>261</v>
      </c>
      <c r="D38" s="351" t="s">
        <v>279</v>
      </c>
      <c r="E38" s="403">
        <v>7020</v>
      </c>
      <c r="F38" s="378" t="s">
        <v>330</v>
      </c>
      <c r="G38" s="378" t="s">
        <v>331</v>
      </c>
      <c r="H38" s="378" t="s">
        <v>331</v>
      </c>
      <c r="I38" s="381">
        <v>1</v>
      </c>
    </row>
    <row r="39" spans="1:9" ht="14.1" customHeight="1" x14ac:dyDescent="0.25">
      <c r="A39" s="286"/>
      <c r="B39" s="264" t="s">
        <v>148</v>
      </c>
      <c r="C39" s="368"/>
      <c r="D39" s="352"/>
      <c r="E39" s="404"/>
      <c r="F39" s="379"/>
      <c r="G39" s="379"/>
      <c r="H39" s="380"/>
      <c r="I39" s="382"/>
    </row>
    <row r="40" spans="1:9" ht="14.1" customHeight="1" x14ac:dyDescent="0.25">
      <c r="A40" s="285">
        <v>16</v>
      </c>
      <c r="B40" s="265" t="s">
        <v>168</v>
      </c>
      <c r="C40" s="367" t="s">
        <v>261</v>
      </c>
      <c r="D40" s="351" t="s">
        <v>280</v>
      </c>
      <c r="E40" s="403">
        <v>6820</v>
      </c>
      <c r="F40" s="378" t="s">
        <v>330</v>
      </c>
      <c r="G40" s="378" t="s">
        <v>331</v>
      </c>
      <c r="H40" s="378" t="s">
        <v>331</v>
      </c>
      <c r="I40" s="381">
        <v>1</v>
      </c>
    </row>
    <row r="41" spans="1:9" ht="14.1" customHeight="1" x14ac:dyDescent="0.25">
      <c r="A41" s="286"/>
      <c r="B41" s="264" t="s">
        <v>160</v>
      </c>
      <c r="C41" s="368"/>
      <c r="D41" s="352"/>
      <c r="E41" s="404"/>
      <c r="F41" s="379"/>
      <c r="G41" s="379"/>
      <c r="H41" s="380"/>
      <c r="I41" s="382"/>
    </row>
    <row r="42" spans="1:9" ht="14.1" customHeight="1" x14ac:dyDescent="0.25">
      <c r="A42" s="285">
        <v>17</v>
      </c>
      <c r="B42" s="265" t="s">
        <v>169</v>
      </c>
      <c r="C42" s="367" t="s">
        <v>260</v>
      </c>
      <c r="D42" s="351" t="s">
        <v>281</v>
      </c>
      <c r="E42" s="403">
        <v>6770</v>
      </c>
      <c r="F42" s="378" t="s">
        <v>330</v>
      </c>
      <c r="G42" s="378" t="s">
        <v>331</v>
      </c>
      <c r="H42" s="378" t="s">
        <v>331</v>
      </c>
      <c r="I42" s="381">
        <v>1</v>
      </c>
    </row>
    <row r="43" spans="1:9" ht="14.1" customHeight="1" x14ac:dyDescent="0.25">
      <c r="A43" s="286"/>
      <c r="B43" s="266" t="s">
        <v>161</v>
      </c>
      <c r="C43" s="368"/>
      <c r="D43" s="352"/>
      <c r="E43" s="404"/>
      <c r="F43" s="379"/>
      <c r="G43" s="379"/>
      <c r="H43" s="380"/>
      <c r="I43" s="382"/>
    </row>
    <row r="44" spans="1:9" ht="14.1" customHeight="1" x14ac:dyDescent="0.25">
      <c r="A44" s="285">
        <v>18</v>
      </c>
      <c r="B44" s="265" t="s">
        <v>53</v>
      </c>
      <c r="C44" s="367" t="s">
        <v>260</v>
      </c>
      <c r="D44" s="351" t="s">
        <v>462</v>
      </c>
      <c r="E44" s="393">
        <v>7100</v>
      </c>
      <c r="F44" s="378" t="s">
        <v>330</v>
      </c>
      <c r="G44" s="378" t="s">
        <v>331</v>
      </c>
      <c r="H44" s="378" t="s">
        <v>331</v>
      </c>
      <c r="I44" s="381">
        <v>1</v>
      </c>
    </row>
    <row r="45" spans="1:9" ht="14.1" customHeight="1" x14ac:dyDescent="0.25">
      <c r="A45" s="286"/>
      <c r="B45" s="266" t="s">
        <v>162</v>
      </c>
      <c r="C45" s="368"/>
      <c r="D45" s="352"/>
      <c r="E45" s="393"/>
      <c r="F45" s="379"/>
      <c r="G45" s="379"/>
      <c r="H45" s="380"/>
      <c r="I45" s="382"/>
    </row>
    <row r="46" spans="1:9" ht="14.1" customHeight="1" x14ac:dyDescent="0.25">
      <c r="A46" s="285">
        <v>19</v>
      </c>
      <c r="B46" s="265" t="s">
        <v>55</v>
      </c>
      <c r="C46" s="367" t="s">
        <v>260</v>
      </c>
      <c r="D46" s="351" t="s">
        <v>332</v>
      </c>
      <c r="E46" s="414">
        <v>7565</v>
      </c>
      <c r="F46" s="381" t="s">
        <v>330</v>
      </c>
      <c r="G46" s="381" t="s">
        <v>331</v>
      </c>
      <c r="H46" s="381" t="s">
        <v>331</v>
      </c>
      <c r="I46" s="381">
        <v>1</v>
      </c>
    </row>
    <row r="47" spans="1:9" ht="14.1" customHeight="1" x14ac:dyDescent="0.25">
      <c r="A47" s="286"/>
      <c r="B47" s="266" t="s">
        <v>171</v>
      </c>
      <c r="C47" s="368"/>
      <c r="D47" s="352"/>
      <c r="E47" s="414"/>
      <c r="F47" s="368"/>
      <c r="G47" s="368"/>
      <c r="H47" s="382"/>
      <c r="I47" s="382"/>
    </row>
    <row r="48" spans="1:9" ht="14.1" customHeight="1" x14ac:dyDescent="0.25">
      <c r="A48" s="259">
        <v>20</v>
      </c>
      <c r="B48" s="265" t="s">
        <v>60</v>
      </c>
      <c r="C48" s="367" t="s">
        <v>260</v>
      </c>
      <c r="D48" s="351" t="s">
        <v>282</v>
      </c>
      <c r="E48" s="415">
        <v>7920</v>
      </c>
      <c r="F48" s="378" t="s">
        <v>330</v>
      </c>
      <c r="G48" s="378" t="s">
        <v>331</v>
      </c>
      <c r="H48" s="378" t="s">
        <v>331</v>
      </c>
      <c r="I48" s="381">
        <v>1</v>
      </c>
    </row>
    <row r="49" spans="1:9" ht="14.1" customHeight="1" x14ac:dyDescent="0.25">
      <c r="A49" s="259"/>
      <c r="B49" s="264" t="s">
        <v>177</v>
      </c>
      <c r="C49" s="368"/>
      <c r="D49" s="352"/>
      <c r="E49" s="415"/>
      <c r="F49" s="379"/>
      <c r="G49" s="379"/>
      <c r="H49" s="380"/>
      <c r="I49" s="382"/>
    </row>
    <row r="50" spans="1:9" ht="14.1" customHeight="1" x14ac:dyDescent="0.25">
      <c r="A50" s="285">
        <v>21</v>
      </c>
      <c r="B50" s="265" t="s">
        <v>57</v>
      </c>
      <c r="C50" s="367" t="s">
        <v>261</v>
      </c>
      <c r="D50" s="351" t="s">
        <v>178</v>
      </c>
      <c r="E50" s="413">
        <v>6870</v>
      </c>
      <c r="F50" s="378" t="s">
        <v>330</v>
      </c>
      <c r="G50" s="378" t="s">
        <v>331</v>
      </c>
      <c r="H50" s="378" t="s">
        <v>331</v>
      </c>
      <c r="I50" s="381">
        <v>1</v>
      </c>
    </row>
    <row r="51" spans="1:9" ht="14.1" customHeight="1" x14ac:dyDescent="0.25">
      <c r="A51" s="286"/>
      <c r="B51" s="264" t="s">
        <v>176</v>
      </c>
      <c r="C51" s="368"/>
      <c r="D51" s="352"/>
      <c r="E51" s="413"/>
      <c r="F51" s="379"/>
      <c r="G51" s="379"/>
      <c r="H51" s="380"/>
      <c r="I51" s="382"/>
    </row>
    <row r="52" spans="1:9" ht="14.1" customHeight="1" x14ac:dyDescent="0.25">
      <c r="A52" s="285">
        <v>22</v>
      </c>
      <c r="B52" s="265" t="s">
        <v>62</v>
      </c>
      <c r="C52" s="367" t="s">
        <v>260</v>
      </c>
      <c r="D52" s="351" t="s">
        <v>283</v>
      </c>
      <c r="E52" s="403">
        <v>7421</v>
      </c>
      <c r="F52" s="378" t="s">
        <v>330</v>
      </c>
      <c r="G52" s="378" t="s">
        <v>331</v>
      </c>
      <c r="H52" s="378" t="s">
        <v>331</v>
      </c>
      <c r="I52" s="381">
        <v>1</v>
      </c>
    </row>
    <row r="53" spans="1:9" ht="14.1" customHeight="1" x14ac:dyDescent="0.25">
      <c r="A53" s="286"/>
      <c r="B53" s="266" t="s">
        <v>149</v>
      </c>
      <c r="C53" s="368"/>
      <c r="D53" s="352"/>
      <c r="E53" s="404"/>
      <c r="F53" s="379"/>
      <c r="G53" s="379"/>
      <c r="H53" s="380"/>
      <c r="I53" s="382"/>
    </row>
    <row r="54" spans="1:9" ht="14.1" customHeight="1" x14ac:dyDescent="0.25">
      <c r="A54" s="285">
        <v>23</v>
      </c>
      <c r="B54" s="265" t="s">
        <v>64</v>
      </c>
      <c r="C54" s="367" t="s">
        <v>263</v>
      </c>
      <c r="D54" s="351" t="s">
        <v>284</v>
      </c>
      <c r="E54" s="393">
        <v>6840</v>
      </c>
      <c r="F54" s="378" t="s">
        <v>330</v>
      </c>
      <c r="G54" s="378" t="s">
        <v>331</v>
      </c>
      <c r="H54" s="378" t="s">
        <v>331</v>
      </c>
      <c r="I54" s="381">
        <v>1</v>
      </c>
    </row>
    <row r="55" spans="1:9" ht="14.1" customHeight="1" x14ac:dyDescent="0.25">
      <c r="A55" s="286"/>
      <c r="B55" s="264" t="s">
        <v>167</v>
      </c>
      <c r="C55" s="368"/>
      <c r="D55" s="352"/>
      <c r="E55" s="393"/>
      <c r="F55" s="379"/>
      <c r="G55" s="379"/>
      <c r="H55" s="380"/>
      <c r="I55" s="382"/>
    </row>
    <row r="56" spans="1:9" ht="14.1" customHeight="1" x14ac:dyDescent="0.25">
      <c r="A56" s="285">
        <v>24</v>
      </c>
      <c r="B56" s="265" t="s">
        <v>66</v>
      </c>
      <c r="C56" s="367" t="s">
        <v>262</v>
      </c>
      <c r="D56" s="351" t="s">
        <v>285</v>
      </c>
      <c r="E56" s="389">
        <v>6780</v>
      </c>
      <c r="F56" s="378" t="s">
        <v>330</v>
      </c>
      <c r="G56" s="378" t="s">
        <v>331</v>
      </c>
      <c r="H56" s="378" t="s">
        <v>331</v>
      </c>
      <c r="I56" s="381">
        <v>1</v>
      </c>
    </row>
    <row r="57" spans="1:9" ht="14.1" customHeight="1" x14ac:dyDescent="0.25">
      <c r="A57" s="286"/>
      <c r="B57" s="266" t="s">
        <v>166</v>
      </c>
      <c r="C57" s="368"/>
      <c r="D57" s="352"/>
      <c r="E57" s="390"/>
      <c r="F57" s="379"/>
      <c r="G57" s="379"/>
      <c r="H57" s="380"/>
      <c r="I57" s="382"/>
    </row>
    <row r="58" spans="1:9" ht="14.1" customHeight="1" x14ac:dyDescent="0.25">
      <c r="A58" s="285">
        <v>25</v>
      </c>
      <c r="B58" s="265" t="s">
        <v>68</v>
      </c>
      <c r="C58" s="367" t="s">
        <v>260</v>
      </c>
      <c r="D58" s="371" t="s">
        <v>464</v>
      </c>
      <c r="E58" s="411">
        <v>6775</v>
      </c>
      <c r="F58" s="378" t="s">
        <v>330</v>
      </c>
      <c r="G58" s="378" t="s">
        <v>331</v>
      </c>
      <c r="H58" s="378" t="s">
        <v>331</v>
      </c>
      <c r="I58" s="381">
        <v>1</v>
      </c>
    </row>
    <row r="59" spans="1:9" ht="14.1" customHeight="1" x14ac:dyDescent="0.25">
      <c r="A59" s="286"/>
      <c r="B59" s="266" t="s">
        <v>165</v>
      </c>
      <c r="C59" s="368"/>
      <c r="D59" s="372"/>
      <c r="E59" s="412"/>
      <c r="F59" s="379"/>
      <c r="G59" s="379"/>
      <c r="H59" s="380"/>
      <c r="I59" s="382"/>
    </row>
    <row r="60" spans="1:9" ht="14.1" customHeight="1" x14ac:dyDescent="0.25">
      <c r="A60" s="285">
        <v>26</v>
      </c>
      <c r="B60" s="265" t="s">
        <v>70</v>
      </c>
      <c r="C60" s="367" t="s">
        <v>260</v>
      </c>
      <c r="D60" s="371" t="s">
        <v>464</v>
      </c>
      <c r="E60" s="413">
        <v>7200</v>
      </c>
      <c r="F60" s="378" t="s">
        <v>330</v>
      </c>
      <c r="G60" s="378" t="s">
        <v>331</v>
      </c>
      <c r="H60" s="378" t="s">
        <v>331</v>
      </c>
      <c r="I60" s="381">
        <v>1</v>
      </c>
    </row>
    <row r="61" spans="1:9" ht="14.1" customHeight="1" x14ac:dyDescent="0.25">
      <c r="A61" s="286"/>
      <c r="B61" s="266" t="s">
        <v>164</v>
      </c>
      <c r="C61" s="368"/>
      <c r="D61" s="372"/>
      <c r="E61" s="413"/>
      <c r="F61" s="379"/>
      <c r="G61" s="379"/>
      <c r="H61" s="380"/>
      <c r="I61" s="382"/>
    </row>
    <row r="62" spans="1:9" ht="14.1" customHeight="1" x14ac:dyDescent="0.25">
      <c r="A62" s="285">
        <v>27</v>
      </c>
      <c r="B62" s="265" t="s">
        <v>227</v>
      </c>
      <c r="C62" s="367" t="s">
        <v>263</v>
      </c>
      <c r="D62" s="371" t="s">
        <v>463</v>
      </c>
      <c r="E62" s="389">
        <v>7200</v>
      </c>
      <c r="F62" s="378" t="s">
        <v>330</v>
      </c>
      <c r="G62" s="378" t="s">
        <v>331</v>
      </c>
      <c r="H62" s="378" t="s">
        <v>331</v>
      </c>
      <c r="I62" s="381">
        <v>1</v>
      </c>
    </row>
    <row r="63" spans="1:9" ht="14.1" customHeight="1" x14ac:dyDescent="0.25">
      <c r="A63" s="286"/>
      <c r="B63" s="264" t="s">
        <v>163</v>
      </c>
      <c r="C63" s="368"/>
      <c r="D63" s="372"/>
      <c r="E63" s="390"/>
      <c r="F63" s="379"/>
      <c r="G63" s="379"/>
      <c r="H63" s="380"/>
      <c r="I63" s="382"/>
    </row>
    <row r="64" spans="1:9" ht="14.1" customHeight="1" x14ac:dyDescent="0.25">
      <c r="A64" s="285">
        <v>28</v>
      </c>
      <c r="B64" s="261" t="s">
        <v>76</v>
      </c>
      <c r="C64" s="367" t="s">
        <v>260</v>
      </c>
      <c r="D64" s="371" t="s">
        <v>463</v>
      </c>
      <c r="E64" s="403">
        <v>7210</v>
      </c>
      <c r="F64" s="378" t="s">
        <v>330</v>
      </c>
      <c r="G64" s="378" t="s">
        <v>331</v>
      </c>
      <c r="H64" s="378" t="s">
        <v>331</v>
      </c>
      <c r="I64" s="381">
        <v>1</v>
      </c>
    </row>
    <row r="65" spans="1:9" ht="14.1" customHeight="1" x14ac:dyDescent="0.25">
      <c r="A65" s="286"/>
      <c r="B65" s="300" t="s">
        <v>159</v>
      </c>
      <c r="C65" s="368"/>
      <c r="D65" s="372"/>
      <c r="E65" s="404"/>
      <c r="F65" s="379"/>
      <c r="G65" s="379"/>
      <c r="H65" s="380"/>
      <c r="I65" s="382"/>
    </row>
    <row r="66" spans="1:9" ht="14.1" customHeight="1" x14ac:dyDescent="0.25">
      <c r="A66" s="285">
        <v>29</v>
      </c>
      <c r="B66" s="261" t="s">
        <v>158</v>
      </c>
      <c r="C66" s="351" t="s">
        <v>259</v>
      </c>
      <c r="D66" s="371" t="s">
        <v>464</v>
      </c>
      <c r="E66" s="403">
        <v>6900</v>
      </c>
      <c r="F66" s="378" t="s">
        <v>330</v>
      </c>
      <c r="G66" s="378" t="s">
        <v>331</v>
      </c>
      <c r="H66" s="378" t="s">
        <v>331</v>
      </c>
      <c r="I66" s="381">
        <v>1</v>
      </c>
    </row>
    <row r="67" spans="1:9" ht="14.1" customHeight="1" x14ac:dyDescent="0.25">
      <c r="A67" s="286"/>
      <c r="B67" s="300" t="s">
        <v>157</v>
      </c>
      <c r="C67" s="352"/>
      <c r="D67" s="372"/>
      <c r="E67" s="404"/>
      <c r="F67" s="379"/>
      <c r="G67" s="379"/>
      <c r="H67" s="380"/>
      <c r="I67" s="382"/>
    </row>
    <row r="68" spans="1:9" ht="14.1" customHeight="1" x14ac:dyDescent="0.25">
      <c r="A68" s="285">
        <v>30</v>
      </c>
      <c r="B68" s="261" t="s">
        <v>156</v>
      </c>
      <c r="C68" s="367" t="s">
        <v>260</v>
      </c>
      <c r="D68" s="351" t="s">
        <v>293</v>
      </c>
      <c r="E68" s="403">
        <v>7643</v>
      </c>
      <c r="F68" s="378" t="s">
        <v>330</v>
      </c>
      <c r="G68" s="378" t="s">
        <v>331</v>
      </c>
      <c r="H68" s="378" t="s">
        <v>331</v>
      </c>
      <c r="I68" s="381">
        <v>1</v>
      </c>
    </row>
    <row r="69" spans="1:9" ht="14.1" customHeight="1" x14ac:dyDescent="0.25">
      <c r="A69" s="286"/>
      <c r="B69" s="300" t="s">
        <v>155</v>
      </c>
      <c r="C69" s="368"/>
      <c r="D69" s="352"/>
      <c r="E69" s="404"/>
      <c r="F69" s="379"/>
      <c r="G69" s="379"/>
      <c r="H69" s="380"/>
      <c r="I69" s="382"/>
    </row>
    <row r="70" spans="1:9" ht="14.1" customHeight="1" x14ac:dyDescent="0.25">
      <c r="A70" s="285">
        <v>31</v>
      </c>
      <c r="B70" s="261" t="s">
        <v>82</v>
      </c>
      <c r="C70" s="367" t="s">
        <v>262</v>
      </c>
      <c r="D70" s="351" t="s">
        <v>294</v>
      </c>
      <c r="E70" s="403">
        <v>7275</v>
      </c>
      <c r="F70" s="378" t="s">
        <v>330</v>
      </c>
      <c r="G70" s="378" t="s">
        <v>331</v>
      </c>
      <c r="H70" s="378" t="s">
        <v>331</v>
      </c>
      <c r="I70" s="381">
        <v>1</v>
      </c>
    </row>
    <row r="71" spans="1:9" ht="14.1" customHeight="1" x14ac:dyDescent="0.25">
      <c r="A71" s="286"/>
      <c r="B71" s="300" t="s">
        <v>154</v>
      </c>
      <c r="C71" s="368"/>
      <c r="D71" s="352"/>
      <c r="E71" s="404"/>
      <c r="F71" s="379"/>
      <c r="G71" s="379"/>
      <c r="H71" s="380"/>
      <c r="I71" s="382"/>
    </row>
    <row r="72" spans="1:9" ht="14.1" customHeight="1" x14ac:dyDescent="0.25">
      <c r="A72" s="285">
        <v>32</v>
      </c>
      <c r="B72" s="265" t="s">
        <v>152</v>
      </c>
      <c r="C72" s="367" t="s">
        <v>260</v>
      </c>
      <c r="D72" s="351" t="s">
        <v>462</v>
      </c>
      <c r="E72" s="403">
        <v>6759</v>
      </c>
      <c r="F72" s="378" t="s">
        <v>330</v>
      </c>
      <c r="G72" s="378" t="s">
        <v>331</v>
      </c>
      <c r="H72" s="378" t="s">
        <v>331</v>
      </c>
      <c r="I72" s="381">
        <v>1</v>
      </c>
    </row>
    <row r="73" spans="1:9" ht="14.1" customHeight="1" x14ac:dyDescent="0.25">
      <c r="A73" s="286"/>
      <c r="B73" s="266" t="s">
        <v>153</v>
      </c>
      <c r="C73" s="368"/>
      <c r="D73" s="352"/>
      <c r="E73" s="404"/>
      <c r="F73" s="379"/>
      <c r="G73" s="379"/>
      <c r="H73" s="380"/>
      <c r="I73" s="382"/>
    </row>
    <row r="74" spans="1:9" ht="14.1" customHeight="1" x14ac:dyDescent="0.25">
      <c r="A74" s="285">
        <v>33</v>
      </c>
      <c r="B74" s="267" t="s">
        <v>151</v>
      </c>
      <c r="C74" s="367" t="s">
        <v>260</v>
      </c>
      <c r="D74" s="351" t="s">
        <v>287</v>
      </c>
      <c r="E74" s="403">
        <v>6820</v>
      </c>
      <c r="F74" s="378" t="s">
        <v>330</v>
      </c>
      <c r="G74" s="378" t="s">
        <v>331</v>
      </c>
      <c r="H74" s="378" t="s">
        <v>331</v>
      </c>
      <c r="I74" s="381">
        <v>1</v>
      </c>
    </row>
    <row r="75" spans="1:9" ht="14.1" customHeight="1" x14ac:dyDescent="0.25">
      <c r="A75" s="286"/>
      <c r="B75" s="268" t="s">
        <v>150</v>
      </c>
      <c r="C75" s="368"/>
      <c r="D75" s="352"/>
      <c r="E75" s="404"/>
      <c r="F75" s="379"/>
      <c r="G75" s="379"/>
      <c r="H75" s="380"/>
      <c r="I75" s="382"/>
    </row>
    <row r="76" spans="1:9" ht="14.1" customHeight="1" x14ac:dyDescent="0.25">
      <c r="A76" s="285">
        <v>34</v>
      </c>
      <c r="B76" s="269" t="s">
        <v>132</v>
      </c>
      <c r="C76" s="367" t="s">
        <v>260</v>
      </c>
      <c r="D76" s="373" t="s">
        <v>288</v>
      </c>
      <c r="E76" s="403">
        <v>7100</v>
      </c>
      <c r="F76" s="378" t="s">
        <v>330</v>
      </c>
      <c r="G76" s="378" t="s">
        <v>331</v>
      </c>
      <c r="H76" s="378" t="s">
        <v>331</v>
      </c>
      <c r="I76" s="381">
        <v>1</v>
      </c>
    </row>
    <row r="77" spans="1:9" ht="14.1" customHeight="1" x14ac:dyDescent="0.25">
      <c r="A77" s="286"/>
      <c r="B77" s="301" t="s">
        <v>185</v>
      </c>
      <c r="C77" s="368"/>
      <c r="D77" s="374"/>
      <c r="E77" s="404"/>
      <c r="F77" s="379"/>
      <c r="G77" s="379"/>
      <c r="H77" s="380"/>
      <c r="I77" s="382"/>
    </row>
    <row r="78" spans="1:9" ht="14.1" customHeight="1" x14ac:dyDescent="0.25">
      <c r="A78" s="285">
        <v>35</v>
      </c>
      <c r="B78" s="302" t="s">
        <v>219</v>
      </c>
      <c r="C78" s="367" t="s">
        <v>457</v>
      </c>
      <c r="D78" s="371" t="s">
        <v>463</v>
      </c>
      <c r="E78" s="403">
        <v>6835</v>
      </c>
      <c r="F78" s="378" t="s">
        <v>330</v>
      </c>
      <c r="G78" s="378" t="s">
        <v>331</v>
      </c>
      <c r="H78" s="378" t="s">
        <v>331</v>
      </c>
      <c r="I78" s="381">
        <v>1</v>
      </c>
    </row>
    <row r="79" spans="1:9" ht="14.1" customHeight="1" x14ac:dyDescent="0.25">
      <c r="A79" s="286"/>
      <c r="B79" s="301" t="s">
        <v>220</v>
      </c>
      <c r="C79" s="368"/>
      <c r="D79" s="372"/>
      <c r="E79" s="404"/>
      <c r="F79" s="379"/>
      <c r="G79" s="379"/>
      <c r="H79" s="380"/>
      <c r="I79" s="382"/>
    </row>
    <row r="80" spans="1:9" ht="14.1" customHeight="1" x14ac:dyDescent="0.25">
      <c r="A80" s="285">
        <v>36</v>
      </c>
      <c r="B80" s="302" t="s">
        <v>221</v>
      </c>
      <c r="C80" s="367" t="s">
        <v>457</v>
      </c>
      <c r="D80" s="371" t="s">
        <v>463</v>
      </c>
      <c r="E80" s="403">
        <v>6885</v>
      </c>
      <c r="F80" s="378" t="s">
        <v>330</v>
      </c>
      <c r="G80" s="378" t="s">
        <v>331</v>
      </c>
      <c r="H80" s="378" t="s">
        <v>331</v>
      </c>
      <c r="I80" s="381">
        <v>1</v>
      </c>
    </row>
    <row r="81" spans="1:9" ht="14.1" customHeight="1" x14ac:dyDescent="0.25">
      <c r="A81" s="286"/>
      <c r="B81" s="301" t="s">
        <v>222</v>
      </c>
      <c r="C81" s="368"/>
      <c r="D81" s="372"/>
      <c r="E81" s="404"/>
      <c r="F81" s="379"/>
      <c r="G81" s="379"/>
      <c r="H81" s="380"/>
      <c r="I81" s="382"/>
    </row>
    <row r="82" spans="1:9" ht="14.1" customHeight="1" x14ac:dyDescent="0.25">
      <c r="A82" s="285">
        <v>37</v>
      </c>
      <c r="B82" s="302" t="s">
        <v>223</v>
      </c>
      <c r="C82" s="387" t="s">
        <v>328</v>
      </c>
      <c r="D82" s="351" t="s">
        <v>289</v>
      </c>
      <c r="E82" s="389">
        <v>7445</v>
      </c>
      <c r="F82" s="378" t="s">
        <v>330</v>
      </c>
      <c r="G82" s="378" t="s">
        <v>331</v>
      </c>
      <c r="H82" s="378" t="s">
        <v>331</v>
      </c>
      <c r="I82" s="381">
        <v>1</v>
      </c>
    </row>
    <row r="83" spans="1:9" ht="14.1" customHeight="1" x14ac:dyDescent="0.25">
      <c r="A83" s="286"/>
      <c r="B83" s="303" t="s">
        <v>224</v>
      </c>
      <c r="C83" s="388"/>
      <c r="D83" s="352"/>
      <c r="E83" s="390"/>
      <c r="F83" s="379"/>
      <c r="G83" s="379"/>
      <c r="H83" s="380"/>
      <c r="I83" s="382"/>
    </row>
    <row r="84" spans="1:9" ht="14.1" customHeight="1" x14ac:dyDescent="0.25">
      <c r="A84" s="285">
        <v>38</v>
      </c>
      <c r="B84" s="269" t="s">
        <v>352</v>
      </c>
      <c r="C84" s="367" t="s">
        <v>263</v>
      </c>
      <c r="D84" s="351" t="s">
        <v>290</v>
      </c>
      <c r="E84" s="403">
        <v>7435</v>
      </c>
      <c r="F84" s="378" t="s">
        <v>330</v>
      </c>
      <c r="G84" s="378" t="s">
        <v>331</v>
      </c>
      <c r="H84" s="378" t="s">
        <v>331</v>
      </c>
      <c r="I84" s="381">
        <v>1</v>
      </c>
    </row>
    <row r="85" spans="1:9" ht="14.1" customHeight="1" x14ac:dyDescent="0.25">
      <c r="A85" s="286"/>
      <c r="B85" s="301" t="s">
        <v>226</v>
      </c>
      <c r="C85" s="368"/>
      <c r="D85" s="352"/>
      <c r="E85" s="404"/>
      <c r="F85" s="379"/>
      <c r="G85" s="379"/>
      <c r="H85" s="380"/>
      <c r="I85" s="382"/>
    </row>
    <row r="86" spans="1:9" ht="14.1" customHeight="1" x14ac:dyDescent="0.25">
      <c r="A86" s="285">
        <v>39</v>
      </c>
      <c r="B86" s="303" t="s">
        <v>246</v>
      </c>
      <c r="C86" s="367" t="s">
        <v>261</v>
      </c>
      <c r="D86" s="351" t="s">
        <v>286</v>
      </c>
      <c r="E86" s="418">
        <v>7662</v>
      </c>
      <c r="F86" s="378" t="s">
        <v>330</v>
      </c>
      <c r="G86" s="378" t="s">
        <v>331</v>
      </c>
      <c r="H86" s="378" t="s">
        <v>331</v>
      </c>
      <c r="I86" s="381">
        <v>1</v>
      </c>
    </row>
    <row r="87" spans="1:9" ht="14.1" customHeight="1" x14ac:dyDescent="0.25">
      <c r="A87" s="286"/>
      <c r="B87" s="270" t="s">
        <v>245</v>
      </c>
      <c r="C87" s="368"/>
      <c r="D87" s="352"/>
      <c r="E87" s="419"/>
      <c r="F87" s="379"/>
      <c r="G87" s="379"/>
      <c r="H87" s="380"/>
      <c r="I87" s="382"/>
    </row>
    <row r="88" spans="1:9" ht="14.1" customHeight="1" x14ac:dyDescent="0.25">
      <c r="A88" s="259">
        <v>40</v>
      </c>
      <c r="B88" s="303" t="s">
        <v>238</v>
      </c>
      <c r="C88" s="367" t="s">
        <v>261</v>
      </c>
      <c r="D88" s="351" t="s">
        <v>291</v>
      </c>
      <c r="E88" s="389">
        <v>7705</v>
      </c>
      <c r="F88" s="378" t="s">
        <v>330</v>
      </c>
      <c r="G88" s="378" t="s">
        <v>331</v>
      </c>
      <c r="H88" s="378" t="s">
        <v>331</v>
      </c>
      <c r="I88" s="381">
        <v>1</v>
      </c>
    </row>
    <row r="89" spans="1:9" ht="14.1" customHeight="1" x14ac:dyDescent="0.25">
      <c r="A89" s="286"/>
      <c r="B89" s="304" t="s">
        <v>239</v>
      </c>
      <c r="C89" s="368"/>
      <c r="D89" s="352"/>
      <c r="E89" s="390"/>
      <c r="F89" s="379"/>
      <c r="G89" s="379"/>
      <c r="H89" s="380"/>
      <c r="I89" s="382"/>
    </row>
    <row r="90" spans="1:9" s="8" customFormat="1" ht="14.1" customHeight="1" x14ac:dyDescent="0.25">
      <c r="A90" s="285">
        <v>41</v>
      </c>
      <c r="B90" s="271" t="s">
        <v>241</v>
      </c>
      <c r="C90" s="387" t="s">
        <v>263</v>
      </c>
      <c r="D90" s="351" t="s">
        <v>292</v>
      </c>
      <c r="E90" s="403">
        <v>6810</v>
      </c>
      <c r="F90" s="378" t="s">
        <v>330</v>
      </c>
      <c r="G90" s="378" t="s">
        <v>331</v>
      </c>
      <c r="H90" s="378" t="s">
        <v>331</v>
      </c>
      <c r="I90" s="381">
        <v>1</v>
      </c>
    </row>
    <row r="91" spans="1:9" s="8" customFormat="1" ht="14.1" customHeight="1" x14ac:dyDescent="0.25">
      <c r="A91" s="286"/>
      <c r="B91" s="272" t="s">
        <v>242</v>
      </c>
      <c r="C91" s="388"/>
      <c r="D91" s="352"/>
      <c r="E91" s="404"/>
      <c r="F91" s="379"/>
      <c r="G91" s="379"/>
      <c r="H91" s="380"/>
      <c r="I91" s="382"/>
    </row>
    <row r="92" spans="1:9" s="8" customFormat="1" ht="14.1" customHeight="1" x14ac:dyDescent="0.25">
      <c r="A92" s="285">
        <v>42</v>
      </c>
      <c r="B92" s="273" t="s">
        <v>353</v>
      </c>
      <c r="C92" s="383" t="s">
        <v>365</v>
      </c>
      <c r="D92" s="351" t="s">
        <v>354</v>
      </c>
      <c r="E92" s="389">
        <v>7890</v>
      </c>
      <c r="F92" s="378" t="s">
        <v>330</v>
      </c>
      <c r="G92" s="378" t="s">
        <v>331</v>
      </c>
      <c r="H92" s="378" t="s">
        <v>331</v>
      </c>
      <c r="I92" s="381">
        <v>1</v>
      </c>
    </row>
    <row r="93" spans="1:9" s="8" customFormat="1" ht="14.1" customHeight="1" x14ac:dyDescent="0.25">
      <c r="A93" s="286"/>
      <c r="B93" s="274" t="s">
        <v>426</v>
      </c>
      <c r="C93" s="384"/>
      <c r="D93" s="352"/>
      <c r="E93" s="390"/>
      <c r="F93" s="379"/>
      <c r="G93" s="379"/>
      <c r="H93" s="380"/>
      <c r="I93" s="382"/>
    </row>
    <row r="94" spans="1:9" s="8" customFormat="1" ht="14.1" customHeight="1" x14ac:dyDescent="0.25">
      <c r="A94" s="285">
        <v>43</v>
      </c>
      <c r="B94" s="273" t="s">
        <v>355</v>
      </c>
      <c r="C94" s="383" t="s">
        <v>365</v>
      </c>
      <c r="D94" s="351" t="s">
        <v>354</v>
      </c>
      <c r="E94" s="403">
        <v>7290</v>
      </c>
      <c r="F94" s="378" t="s">
        <v>330</v>
      </c>
      <c r="G94" s="378" t="s">
        <v>331</v>
      </c>
      <c r="H94" s="378" t="s">
        <v>331</v>
      </c>
      <c r="I94" s="381">
        <v>1</v>
      </c>
    </row>
    <row r="95" spans="1:9" s="8" customFormat="1" ht="14.1" customHeight="1" x14ac:dyDescent="0.25">
      <c r="A95" s="286"/>
      <c r="B95" s="274" t="s">
        <v>427</v>
      </c>
      <c r="C95" s="384"/>
      <c r="D95" s="352"/>
      <c r="E95" s="404"/>
      <c r="F95" s="379"/>
      <c r="G95" s="379"/>
      <c r="H95" s="380"/>
      <c r="I95" s="382"/>
    </row>
    <row r="96" spans="1:9" s="8" customFormat="1" ht="14.1" customHeight="1" x14ac:dyDescent="0.25">
      <c r="A96" s="285">
        <v>44</v>
      </c>
      <c r="B96" s="273" t="s">
        <v>356</v>
      </c>
      <c r="C96" s="383" t="s">
        <v>365</v>
      </c>
      <c r="D96" s="351" t="s">
        <v>354</v>
      </c>
      <c r="E96" s="403">
        <v>7320</v>
      </c>
      <c r="F96" s="378" t="s">
        <v>330</v>
      </c>
      <c r="G96" s="378" t="s">
        <v>331</v>
      </c>
      <c r="H96" s="378" t="s">
        <v>331</v>
      </c>
      <c r="I96" s="381">
        <v>1</v>
      </c>
    </row>
    <row r="97" spans="1:9" s="8" customFormat="1" ht="14.1" customHeight="1" x14ac:dyDescent="0.25">
      <c r="A97" s="286"/>
      <c r="B97" s="274" t="s">
        <v>428</v>
      </c>
      <c r="C97" s="384"/>
      <c r="D97" s="352"/>
      <c r="E97" s="404"/>
      <c r="F97" s="379"/>
      <c r="G97" s="379"/>
      <c r="H97" s="380"/>
      <c r="I97" s="382"/>
    </row>
    <row r="98" spans="1:9" s="8" customFormat="1" ht="14.1" customHeight="1" x14ac:dyDescent="0.25">
      <c r="A98" s="305">
        <v>45</v>
      </c>
      <c r="B98" s="273" t="s">
        <v>357</v>
      </c>
      <c r="C98" s="383" t="s">
        <v>365</v>
      </c>
      <c r="D98" s="351" t="s">
        <v>354</v>
      </c>
      <c r="E98" s="403">
        <v>8005</v>
      </c>
      <c r="F98" s="378" t="s">
        <v>330</v>
      </c>
      <c r="G98" s="378" t="s">
        <v>331</v>
      </c>
      <c r="H98" s="378" t="s">
        <v>331</v>
      </c>
      <c r="I98" s="381">
        <v>1</v>
      </c>
    </row>
    <row r="99" spans="1:9" s="8" customFormat="1" ht="14.1" customHeight="1" x14ac:dyDescent="0.25">
      <c r="A99" s="305"/>
      <c r="B99" s="274" t="s">
        <v>429</v>
      </c>
      <c r="C99" s="384"/>
      <c r="D99" s="352"/>
      <c r="E99" s="404"/>
      <c r="F99" s="379"/>
      <c r="G99" s="379"/>
      <c r="H99" s="380"/>
      <c r="I99" s="382"/>
    </row>
    <row r="100" spans="1:9" s="8" customFormat="1" ht="14.1" customHeight="1" x14ac:dyDescent="0.25">
      <c r="A100" s="285">
        <v>46</v>
      </c>
      <c r="B100" s="273" t="s">
        <v>363</v>
      </c>
      <c r="C100" s="383" t="s">
        <v>365</v>
      </c>
      <c r="D100" s="351" t="s">
        <v>354</v>
      </c>
      <c r="E100" s="418">
        <v>7790</v>
      </c>
      <c r="F100" s="378" t="s">
        <v>330</v>
      </c>
      <c r="G100" s="378" t="s">
        <v>331</v>
      </c>
      <c r="H100" s="378" t="s">
        <v>331</v>
      </c>
      <c r="I100" s="381">
        <v>1</v>
      </c>
    </row>
    <row r="101" spans="1:9" s="8" customFormat="1" ht="14.1" customHeight="1" x14ac:dyDescent="0.25">
      <c r="A101" s="305"/>
      <c r="B101" s="274" t="s">
        <v>430</v>
      </c>
      <c r="C101" s="384"/>
      <c r="D101" s="352"/>
      <c r="E101" s="419"/>
      <c r="F101" s="379"/>
      <c r="G101" s="379"/>
      <c r="H101" s="380"/>
      <c r="I101" s="382"/>
    </row>
    <row r="102" spans="1:9" s="8" customFormat="1" ht="14.1" customHeight="1" x14ac:dyDescent="0.25">
      <c r="A102" s="285">
        <v>47</v>
      </c>
      <c r="B102" s="273" t="s">
        <v>364</v>
      </c>
      <c r="C102" s="383" t="s">
        <v>365</v>
      </c>
      <c r="D102" s="351" t="s">
        <v>354</v>
      </c>
      <c r="E102" s="403">
        <v>7320</v>
      </c>
      <c r="F102" s="378" t="s">
        <v>330</v>
      </c>
      <c r="G102" s="378" t="s">
        <v>331</v>
      </c>
      <c r="H102" s="378" t="s">
        <v>331</v>
      </c>
      <c r="I102" s="381">
        <v>1</v>
      </c>
    </row>
    <row r="103" spans="1:9" s="8" customFormat="1" ht="14.1" customHeight="1" x14ac:dyDescent="0.25">
      <c r="A103" s="286"/>
      <c r="B103" s="275" t="s">
        <v>431</v>
      </c>
      <c r="C103" s="385"/>
      <c r="D103" s="352"/>
      <c r="E103" s="404"/>
      <c r="F103" s="379"/>
      <c r="G103" s="379"/>
      <c r="H103" s="380"/>
      <c r="I103" s="382"/>
    </row>
    <row r="104" spans="1:9" s="8" customFormat="1" ht="14.1" customHeight="1" x14ac:dyDescent="0.25">
      <c r="A104" s="285">
        <v>48</v>
      </c>
      <c r="B104" s="273" t="s">
        <v>358</v>
      </c>
      <c r="C104" s="383" t="s">
        <v>365</v>
      </c>
      <c r="D104" s="355" t="s">
        <v>359</v>
      </c>
      <c r="E104" s="421">
        <v>6990</v>
      </c>
      <c r="F104" s="378" t="s">
        <v>330</v>
      </c>
      <c r="G104" s="378" t="s">
        <v>331</v>
      </c>
      <c r="H104" s="378" t="s">
        <v>331</v>
      </c>
      <c r="I104" s="381">
        <v>1</v>
      </c>
    </row>
    <row r="105" spans="1:9" s="8" customFormat="1" ht="14.1" customHeight="1" x14ac:dyDescent="0.25">
      <c r="A105" s="286"/>
      <c r="B105" s="274" t="s">
        <v>432</v>
      </c>
      <c r="C105" s="385"/>
      <c r="D105" s="356"/>
      <c r="E105" s="422"/>
      <c r="F105" s="379"/>
      <c r="G105" s="379"/>
      <c r="H105" s="380"/>
      <c r="I105" s="382"/>
    </row>
    <row r="106" spans="1:9" s="8" customFormat="1" ht="14.1" customHeight="1" x14ac:dyDescent="0.25">
      <c r="A106" s="285">
        <v>49</v>
      </c>
      <c r="B106" s="273" t="s">
        <v>362</v>
      </c>
      <c r="C106" s="383" t="s">
        <v>365</v>
      </c>
      <c r="D106" s="355" t="s">
        <v>359</v>
      </c>
      <c r="E106" s="421">
        <v>7040</v>
      </c>
      <c r="F106" s="378" t="s">
        <v>330</v>
      </c>
      <c r="G106" s="378" t="s">
        <v>331</v>
      </c>
      <c r="H106" s="378" t="s">
        <v>331</v>
      </c>
      <c r="I106" s="381">
        <v>1</v>
      </c>
    </row>
    <row r="107" spans="1:9" s="8" customFormat="1" ht="14.1" customHeight="1" x14ac:dyDescent="0.25">
      <c r="A107" s="286"/>
      <c r="B107" s="274" t="s">
        <v>433</v>
      </c>
      <c r="C107" s="385"/>
      <c r="D107" s="356"/>
      <c r="E107" s="422"/>
      <c r="F107" s="379"/>
      <c r="G107" s="379"/>
      <c r="H107" s="380"/>
      <c r="I107" s="382"/>
    </row>
    <row r="108" spans="1:9" s="8" customFormat="1" ht="14.1" customHeight="1" x14ac:dyDescent="0.25">
      <c r="A108" s="285">
        <v>50</v>
      </c>
      <c r="B108" s="276" t="s">
        <v>366</v>
      </c>
      <c r="C108" s="383" t="s">
        <v>365</v>
      </c>
      <c r="D108" s="355" t="s">
        <v>359</v>
      </c>
      <c r="E108" s="403">
        <v>6940</v>
      </c>
      <c r="F108" s="378" t="s">
        <v>330</v>
      </c>
      <c r="G108" s="378" t="s">
        <v>331</v>
      </c>
      <c r="H108" s="378" t="s">
        <v>331</v>
      </c>
      <c r="I108" s="381">
        <v>1</v>
      </c>
    </row>
    <row r="109" spans="1:9" s="8" customFormat="1" ht="14.1" customHeight="1" x14ac:dyDescent="0.25">
      <c r="A109" s="286"/>
      <c r="B109" s="277" t="s">
        <v>434</v>
      </c>
      <c r="C109" s="385"/>
      <c r="D109" s="356"/>
      <c r="E109" s="404"/>
      <c r="F109" s="379"/>
      <c r="G109" s="379"/>
      <c r="H109" s="380"/>
      <c r="I109" s="382"/>
    </row>
    <row r="110" spans="1:9" s="8" customFormat="1" ht="14.1" customHeight="1" x14ac:dyDescent="0.25">
      <c r="A110" s="285">
        <v>41</v>
      </c>
      <c r="B110" s="273" t="s">
        <v>367</v>
      </c>
      <c r="C110" s="383" t="s">
        <v>365</v>
      </c>
      <c r="D110" s="355" t="s">
        <v>359</v>
      </c>
      <c r="E110" s="418">
        <v>7760</v>
      </c>
      <c r="F110" s="378" t="s">
        <v>330</v>
      </c>
      <c r="G110" s="378" t="s">
        <v>331</v>
      </c>
      <c r="H110" s="378" t="s">
        <v>331</v>
      </c>
      <c r="I110" s="381">
        <v>1</v>
      </c>
    </row>
    <row r="111" spans="1:9" s="8" customFormat="1" ht="14.1" customHeight="1" x14ac:dyDescent="0.25">
      <c r="A111" s="286"/>
      <c r="B111" s="274" t="s">
        <v>435</v>
      </c>
      <c r="C111" s="384"/>
      <c r="D111" s="356"/>
      <c r="E111" s="419"/>
      <c r="F111" s="379"/>
      <c r="G111" s="379"/>
      <c r="H111" s="380"/>
      <c r="I111" s="382"/>
    </row>
    <row r="112" spans="1:9" s="8" customFormat="1" ht="14.1" customHeight="1" x14ac:dyDescent="0.25">
      <c r="A112" s="285">
        <v>52</v>
      </c>
      <c r="B112" s="273" t="s">
        <v>368</v>
      </c>
      <c r="C112" s="383" t="s">
        <v>365</v>
      </c>
      <c r="D112" s="355" t="s">
        <v>359</v>
      </c>
      <c r="E112" s="389">
        <v>7660</v>
      </c>
      <c r="F112" s="378" t="s">
        <v>330</v>
      </c>
      <c r="G112" s="378" t="s">
        <v>331</v>
      </c>
      <c r="H112" s="378" t="s">
        <v>331</v>
      </c>
      <c r="I112" s="381">
        <v>1</v>
      </c>
    </row>
    <row r="113" spans="1:9" s="8" customFormat="1" ht="14.1" customHeight="1" x14ac:dyDescent="0.25">
      <c r="A113" s="286"/>
      <c r="B113" s="274" t="s">
        <v>436</v>
      </c>
      <c r="C113" s="385"/>
      <c r="D113" s="356"/>
      <c r="E113" s="390"/>
      <c r="F113" s="379"/>
      <c r="G113" s="379"/>
      <c r="H113" s="380"/>
      <c r="I113" s="382"/>
    </row>
    <row r="114" spans="1:9" s="8" customFormat="1" ht="14.1" customHeight="1" x14ac:dyDescent="0.25">
      <c r="A114" s="311">
        <v>53</v>
      </c>
      <c r="B114" s="273" t="s">
        <v>369</v>
      </c>
      <c r="C114" s="383" t="s">
        <v>365</v>
      </c>
      <c r="D114" s="355" t="s">
        <v>359</v>
      </c>
      <c r="E114" s="416">
        <v>7364</v>
      </c>
      <c r="F114" s="378" t="s">
        <v>330</v>
      </c>
      <c r="G114" s="378" t="s">
        <v>331</v>
      </c>
      <c r="H114" s="378" t="s">
        <v>331</v>
      </c>
      <c r="I114" s="381">
        <v>1</v>
      </c>
    </row>
    <row r="115" spans="1:9" s="8" customFormat="1" ht="14.1" customHeight="1" x14ac:dyDescent="0.25">
      <c r="A115" s="278"/>
      <c r="B115" s="274" t="s">
        <v>437</v>
      </c>
      <c r="C115" s="385"/>
      <c r="D115" s="356"/>
      <c r="E115" s="417"/>
      <c r="F115" s="379"/>
      <c r="G115" s="379"/>
      <c r="H115" s="380"/>
      <c r="I115" s="382"/>
    </row>
    <row r="116" spans="1:9" s="8" customFormat="1" ht="13.5" customHeight="1" x14ac:dyDescent="0.25">
      <c r="A116" s="312">
        <v>54</v>
      </c>
      <c r="B116" s="273" t="s">
        <v>360</v>
      </c>
      <c r="C116" s="383" t="s">
        <v>365</v>
      </c>
      <c r="D116" s="351" t="s">
        <v>361</v>
      </c>
      <c r="E116" s="416">
        <v>6870</v>
      </c>
      <c r="F116" s="378" t="s">
        <v>330</v>
      </c>
      <c r="G116" s="378" t="s">
        <v>331</v>
      </c>
      <c r="H116" s="378" t="s">
        <v>331</v>
      </c>
      <c r="I116" s="381">
        <v>1</v>
      </c>
    </row>
    <row r="117" spans="1:9" ht="13.5" customHeight="1" x14ac:dyDescent="0.25">
      <c r="A117" s="193"/>
      <c r="B117" s="274" t="s">
        <v>438</v>
      </c>
      <c r="C117" s="384"/>
      <c r="D117" s="352"/>
      <c r="E117" s="417"/>
      <c r="F117" s="379"/>
      <c r="G117" s="379"/>
      <c r="H117" s="380"/>
      <c r="I117" s="382"/>
    </row>
    <row r="118" spans="1:9" ht="13.5" customHeight="1" x14ac:dyDescent="0.25">
      <c r="B118" s="203"/>
      <c r="C118" s="185"/>
      <c r="D118" s="166"/>
      <c r="E118" s="8"/>
      <c r="F118" s="8"/>
      <c r="G118" s="8"/>
      <c r="H118" s="8"/>
      <c r="I118" s="8"/>
    </row>
    <row r="119" spans="1:9" s="8" customFormat="1" ht="13.5" customHeight="1" x14ac:dyDescent="0.25">
      <c r="A119" s="125" t="s">
        <v>267</v>
      </c>
      <c r="B119" s="167"/>
      <c r="C119" s="165"/>
      <c r="D119" s="166"/>
      <c r="E119" s="90"/>
      <c r="F119" s="89"/>
      <c r="G119" s="89"/>
      <c r="H119" s="91"/>
      <c r="I119" s="91"/>
    </row>
    <row r="120" spans="1:9" s="8" customFormat="1" ht="13.5" customHeight="1" x14ac:dyDescent="0.25">
      <c r="A120" s="119"/>
      <c r="B120" s="167"/>
      <c r="C120" s="165"/>
      <c r="D120" s="166"/>
      <c r="E120" s="90"/>
      <c r="F120" s="146" t="s">
        <v>532</v>
      </c>
      <c r="G120" s="146"/>
      <c r="H120" s="146"/>
      <c r="I120" s="146"/>
    </row>
    <row r="121" spans="1:9" ht="13.5" customHeight="1" x14ac:dyDescent="0.25">
      <c r="A121" s="119"/>
      <c r="B121" s="119"/>
      <c r="C121" s="258"/>
      <c r="D121" s="258"/>
      <c r="E121" s="90"/>
      <c r="F121" s="146"/>
      <c r="G121" s="146"/>
      <c r="H121" s="15"/>
      <c r="I121" s="146"/>
    </row>
    <row r="122" spans="1:9" ht="13.5" customHeight="1" x14ac:dyDescent="0.25">
      <c r="A122" s="119"/>
      <c r="B122" s="119" t="s">
        <v>268</v>
      </c>
      <c r="C122" s="258"/>
      <c r="D122" s="258"/>
      <c r="F122" s="100" t="s">
        <v>440</v>
      </c>
      <c r="G122" s="100"/>
      <c r="H122" s="21"/>
      <c r="I122" s="146"/>
    </row>
    <row r="123" spans="1:9" s="8" customFormat="1" ht="13.5" customHeight="1" x14ac:dyDescent="0.25">
      <c r="A123" s="119"/>
      <c r="B123" s="119" t="s">
        <v>269</v>
      </c>
      <c r="C123" s="258"/>
      <c r="D123" s="258"/>
      <c r="E123" s="2"/>
      <c r="F123" s="100" t="s">
        <v>441</v>
      </c>
      <c r="G123" s="100"/>
      <c r="H123" s="15"/>
      <c r="I123" s="146"/>
    </row>
    <row r="124" spans="1:9" s="8" customFormat="1" ht="13.5" customHeight="1" x14ac:dyDescent="0.25">
      <c r="A124" s="119"/>
      <c r="B124" s="119" t="s">
        <v>270</v>
      </c>
      <c r="C124" s="258"/>
      <c r="D124" s="258"/>
      <c r="E124" s="2"/>
      <c r="F124" s="100"/>
      <c r="G124" s="100"/>
      <c r="H124" s="15"/>
      <c r="I124" s="140"/>
    </row>
    <row r="125" spans="1:9" s="8" customFormat="1" ht="13.5" customHeight="1" x14ac:dyDescent="0.25">
      <c r="A125"/>
      <c r="B125" s="119" t="s">
        <v>271</v>
      </c>
      <c r="C125" s="258"/>
      <c r="D125" s="258"/>
      <c r="E125" s="2"/>
      <c r="F125" s="100"/>
      <c r="G125" s="100"/>
      <c r="H125" s="15"/>
      <c r="I125" s="140"/>
    </row>
    <row r="126" spans="1:9" s="8" customFormat="1" ht="13.5" customHeight="1" x14ac:dyDescent="0.25">
      <c r="A126"/>
      <c r="B126" s="119" t="s">
        <v>272</v>
      </c>
      <c r="C126" s="258"/>
      <c r="D126" s="258"/>
      <c r="E126" s="2"/>
      <c r="F126" s="100"/>
      <c r="G126" s="100"/>
      <c r="H126" s="15"/>
      <c r="I126" s="140"/>
    </row>
    <row r="127" spans="1:9" s="8" customFormat="1" ht="13.5" customHeight="1" x14ac:dyDescent="0.25">
      <c r="A127"/>
      <c r="B127"/>
      <c r="D127"/>
      <c r="E127" s="2"/>
      <c r="F127" s="336" t="s">
        <v>465</v>
      </c>
      <c r="G127" s="336"/>
      <c r="H127" s="336"/>
      <c r="I127" s="336"/>
    </row>
    <row r="128" spans="1:9" s="8" customFormat="1" ht="13.5" customHeight="1" x14ac:dyDescent="0.25">
      <c r="A128"/>
      <c r="B128"/>
      <c r="D128"/>
      <c r="E128" s="2"/>
      <c r="F128" s="100" t="s">
        <v>93</v>
      </c>
      <c r="G128" s="100" t="s">
        <v>338</v>
      </c>
      <c r="H128" s="15"/>
      <c r="I128" s="146"/>
    </row>
    <row r="129" spans="1:10" s="8" customFormat="1" ht="13.5" customHeight="1" x14ac:dyDescent="0.25">
      <c r="A129"/>
      <c r="B129"/>
      <c r="D129"/>
      <c r="E129" s="2"/>
      <c r="F129" s="100" t="s">
        <v>94</v>
      </c>
      <c r="G129" s="100" t="s">
        <v>442</v>
      </c>
      <c r="H129" s="15"/>
      <c r="I129" s="146"/>
    </row>
    <row r="130" spans="1:10" s="8" customFormat="1" ht="13.5" customHeight="1" x14ac:dyDescent="0.25">
      <c r="A130"/>
      <c r="B130"/>
      <c r="D130"/>
      <c r="E130" s="2"/>
      <c r="F130" s="69"/>
      <c r="G130" s="157"/>
      <c r="H130" s="154"/>
      <c r="I130" s="154"/>
    </row>
    <row r="131" spans="1:10" s="8" customFormat="1" ht="13.5" customHeight="1" x14ac:dyDescent="0.25">
      <c r="A131"/>
      <c r="B131"/>
      <c r="D131"/>
      <c r="E131" s="2"/>
      <c r="F131" s="69"/>
      <c r="G131" s="100"/>
      <c r="H131" s="100"/>
      <c r="I131" s="100"/>
    </row>
    <row r="132" spans="1:10" s="8" customFormat="1" ht="13.5" customHeight="1" x14ac:dyDescent="0.25">
      <c r="A132"/>
      <c r="B132"/>
      <c r="D132"/>
      <c r="E132" s="2"/>
      <c r="F132" s="70"/>
      <c r="G132" s="100"/>
      <c r="H132" s="100"/>
      <c r="I132" s="100"/>
      <c r="J132" s="100"/>
    </row>
    <row r="133" spans="1:10" s="8" customFormat="1" ht="13.5" customHeight="1" x14ac:dyDescent="0.25">
      <c r="A133"/>
      <c r="B133"/>
      <c r="D133"/>
      <c r="E133" s="2"/>
      <c r="F133" s="2"/>
      <c r="G133" s="89"/>
      <c r="H133" s="2"/>
      <c r="I133" s="91"/>
      <c r="J133" s="140"/>
    </row>
    <row r="134" spans="1:10" s="8" customFormat="1" ht="13.5" customHeight="1" x14ac:dyDescent="0.25">
      <c r="A134"/>
      <c r="B134"/>
      <c r="D134"/>
      <c r="E134" s="2"/>
      <c r="F134" s="2"/>
      <c r="G134" s="89"/>
      <c r="H134" s="146"/>
      <c r="I134"/>
      <c r="J134" s="100"/>
    </row>
    <row r="135" spans="1:10" s="8" customFormat="1" ht="13.5" customHeight="1" x14ac:dyDescent="0.25">
      <c r="A135"/>
      <c r="B135"/>
      <c r="D135"/>
      <c r="E135" s="2"/>
      <c r="F135" s="2"/>
      <c r="G135" s="89"/>
      <c r="H135" s="146"/>
      <c r="I135"/>
      <c r="J135" s="131"/>
    </row>
    <row r="136" spans="1:10" s="8" customFormat="1" ht="13.5" customHeight="1" x14ac:dyDescent="0.25">
      <c r="A136"/>
      <c r="B136"/>
      <c r="D136"/>
      <c r="E136" s="2"/>
      <c r="F136" s="2"/>
      <c r="G136" s="70"/>
      <c r="H136" s="2"/>
      <c r="I136"/>
      <c r="J136" s="100"/>
    </row>
    <row r="137" spans="1:10" s="8" customFormat="1" ht="13.5" customHeight="1" x14ac:dyDescent="0.25">
      <c r="A137"/>
      <c r="B137"/>
      <c r="D137"/>
      <c r="E137" s="2"/>
      <c r="F137" s="2"/>
      <c r="G137" s="70"/>
      <c r="H137" s="2"/>
      <c r="I137"/>
      <c r="J137" s="100"/>
    </row>
    <row r="138" spans="1:10" ht="13.5" customHeight="1" x14ac:dyDescent="0.25">
      <c r="G138" s="70"/>
      <c r="J138" s="178"/>
    </row>
    <row r="139" spans="1:10" ht="13.5" customHeight="1" x14ac:dyDescent="0.25">
      <c r="G139" s="70"/>
      <c r="J139" s="100"/>
    </row>
    <row r="140" spans="1:10" s="8" customFormat="1" ht="13.5" customHeight="1" x14ac:dyDescent="0.25">
      <c r="A140"/>
      <c r="B140"/>
      <c r="D140"/>
      <c r="E140" s="2"/>
      <c r="F140" s="2"/>
      <c r="G140" s="70"/>
      <c r="H140" s="15"/>
      <c r="I140"/>
      <c r="J140" s="154"/>
    </row>
    <row r="141" spans="1:10" s="8" customFormat="1" ht="13.5" customHeight="1" x14ac:dyDescent="0.25">
      <c r="A141"/>
      <c r="B141"/>
      <c r="D141"/>
      <c r="E141" s="2"/>
      <c r="F141" s="2"/>
      <c r="G141" s="70"/>
      <c r="H141" s="15"/>
      <c r="I141"/>
      <c r="J141" s="100"/>
    </row>
    <row r="142" spans="1:10" s="8" customFormat="1" ht="13.5" customHeight="1" x14ac:dyDescent="0.25">
      <c r="A142"/>
      <c r="B142"/>
      <c r="D142"/>
      <c r="E142" s="2"/>
      <c r="F142" s="2"/>
      <c r="G142" s="70"/>
      <c r="H142" s="2"/>
      <c r="I142" s="15"/>
      <c r="J142" s="100"/>
    </row>
    <row r="143" spans="1:10" s="8" customFormat="1" ht="13.5" customHeight="1" x14ac:dyDescent="0.25">
      <c r="A143"/>
      <c r="B143"/>
      <c r="D143"/>
      <c r="E143" s="2"/>
      <c r="F143" s="2"/>
      <c r="G143" s="2"/>
      <c r="H143" s="2"/>
      <c r="I143" s="15"/>
    </row>
  </sheetData>
  <mergeCells count="387">
    <mergeCell ref="F12:F13"/>
    <mergeCell ref="G12:G13"/>
    <mergeCell ref="H12:H13"/>
    <mergeCell ref="I12:I13"/>
    <mergeCell ref="E106:E107"/>
    <mergeCell ref="E104:E105"/>
    <mergeCell ref="C90:C91"/>
    <mergeCell ref="F18:F19"/>
    <mergeCell ref="D64:D65"/>
    <mergeCell ref="D66:D67"/>
    <mergeCell ref="D76:D77"/>
    <mergeCell ref="D52:D53"/>
    <mergeCell ref="D54:D55"/>
    <mergeCell ref="D46:D47"/>
    <mergeCell ref="D48:D49"/>
    <mergeCell ref="D50:D51"/>
    <mergeCell ref="D58:D59"/>
    <mergeCell ref="D62:D63"/>
    <mergeCell ref="F26:F27"/>
    <mergeCell ref="F28:F29"/>
    <mergeCell ref="F30:F31"/>
    <mergeCell ref="E102:E103"/>
    <mergeCell ref="F38:F39"/>
    <mergeCell ref="F88:F89"/>
    <mergeCell ref="C12:C13"/>
    <mergeCell ref="D12:D13"/>
    <mergeCell ref="E12:E13"/>
    <mergeCell ref="D88:D89"/>
    <mergeCell ref="D80:D81"/>
    <mergeCell ref="D90:D91"/>
    <mergeCell ref="D82:D83"/>
    <mergeCell ref="D42:D43"/>
    <mergeCell ref="C32:C33"/>
    <mergeCell ref="C88:C89"/>
    <mergeCell ref="C78:C79"/>
    <mergeCell ref="C86:C87"/>
    <mergeCell ref="C66:C67"/>
    <mergeCell ref="C76:C77"/>
    <mergeCell ref="C48:C49"/>
    <mergeCell ref="C60:C61"/>
    <mergeCell ref="C44:C45"/>
    <mergeCell ref="C42:C43"/>
    <mergeCell ref="D44:D45"/>
    <mergeCell ref="D78:D79"/>
    <mergeCell ref="D56:D57"/>
    <mergeCell ref="E116:E117"/>
    <mergeCell ref="E108:E109"/>
    <mergeCell ref="E92:E93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100:E101"/>
    <mergeCell ref="E94:E95"/>
    <mergeCell ref="E98:E99"/>
    <mergeCell ref="E96:E97"/>
    <mergeCell ref="E110:E111"/>
    <mergeCell ref="E112:E113"/>
    <mergeCell ref="E114:E115"/>
    <mergeCell ref="E84:E85"/>
    <mergeCell ref="E86:E87"/>
    <mergeCell ref="I88:I89"/>
    <mergeCell ref="I16:I17"/>
    <mergeCell ref="I90:I91"/>
    <mergeCell ref="G76:G77"/>
    <mergeCell ref="D68:D69"/>
    <mergeCell ref="D70:D71"/>
    <mergeCell ref="F62:F63"/>
    <mergeCell ref="D86:D87"/>
    <mergeCell ref="H76:H77"/>
    <mergeCell ref="D84:D85"/>
    <mergeCell ref="F84:F85"/>
    <mergeCell ref="E22:E23"/>
    <mergeCell ref="E24:E25"/>
    <mergeCell ref="E20:E21"/>
    <mergeCell ref="E26:E27"/>
    <mergeCell ref="E40:E41"/>
    <mergeCell ref="E42:E43"/>
    <mergeCell ref="E44:E45"/>
    <mergeCell ref="E46:E47"/>
    <mergeCell ref="E48:E49"/>
    <mergeCell ref="E50:E51"/>
    <mergeCell ref="E52:E53"/>
    <mergeCell ref="E88:E89"/>
    <mergeCell ref="E90:E91"/>
    <mergeCell ref="G88:G89"/>
    <mergeCell ref="H88:H89"/>
    <mergeCell ref="F16:F17"/>
    <mergeCell ref="G16:G17"/>
    <mergeCell ref="H16:H17"/>
    <mergeCell ref="E58:E59"/>
    <mergeCell ref="E60:E61"/>
    <mergeCell ref="E62:E63"/>
    <mergeCell ref="E64:E65"/>
    <mergeCell ref="G84:G85"/>
    <mergeCell ref="H84:H85"/>
    <mergeCell ref="G26:G27"/>
    <mergeCell ref="G22:G23"/>
    <mergeCell ref="G24:G25"/>
    <mergeCell ref="G28:G29"/>
    <mergeCell ref="G74:G75"/>
    <mergeCell ref="G70:G71"/>
    <mergeCell ref="H38:H39"/>
    <mergeCell ref="H40:H41"/>
    <mergeCell ref="H36:H37"/>
    <mergeCell ref="G62:G63"/>
    <mergeCell ref="G64:G65"/>
    <mergeCell ref="G54:G55"/>
    <mergeCell ref="F86:F87"/>
    <mergeCell ref="G86:G87"/>
    <mergeCell ref="H86:H87"/>
    <mergeCell ref="H82:H83"/>
    <mergeCell ref="F78:F79"/>
    <mergeCell ref="G78:G79"/>
    <mergeCell ref="E36:E37"/>
    <mergeCell ref="E38:E39"/>
    <mergeCell ref="G82:G83"/>
    <mergeCell ref="D60:D61"/>
    <mergeCell ref="D36:D37"/>
    <mergeCell ref="D38:D39"/>
    <mergeCell ref="D40:D41"/>
    <mergeCell ref="G36:G37"/>
    <mergeCell ref="G38:G39"/>
    <mergeCell ref="G40:G41"/>
    <mergeCell ref="F40:F41"/>
    <mergeCell ref="F36:F37"/>
    <mergeCell ref="H80:H81"/>
    <mergeCell ref="H48:H49"/>
    <mergeCell ref="D72:D73"/>
    <mergeCell ref="D74:D75"/>
    <mergeCell ref="G72:G73"/>
    <mergeCell ref="G48:G49"/>
    <mergeCell ref="G50:G51"/>
    <mergeCell ref="A6:A7"/>
    <mergeCell ref="D10:D11"/>
    <mergeCell ref="F10:F11"/>
    <mergeCell ref="H10:H11"/>
    <mergeCell ref="C6:C7"/>
    <mergeCell ref="G10:G11"/>
    <mergeCell ref="D28:D29"/>
    <mergeCell ref="H32:H33"/>
    <mergeCell ref="H34:H35"/>
    <mergeCell ref="E14:E15"/>
    <mergeCell ref="G32:G33"/>
    <mergeCell ref="C14:C15"/>
    <mergeCell ref="E10:E11"/>
    <mergeCell ref="E16:E17"/>
    <mergeCell ref="D20:D21"/>
    <mergeCell ref="D30:D31"/>
    <mergeCell ref="E34:E35"/>
    <mergeCell ref="G34:G35"/>
    <mergeCell ref="D16:D17"/>
    <mergeCell ref="D34:D35"/>
    <mergeCell ref="H28:H29"/>
    <mergeCell ref="H30:H31"/>
    <mergeCell ref="H26:H27"/>
    <mergeCell ref="C30:C31"/>
    <mergeCell ref="G18:G19"/>
    <mergeCell ref="H18:H19"/>
    <mergeCell ref="E18:E19"/>
    <mergeCell ref="G30:G31"/>
    <mergeCell ref="D24:D25"/>
    <mergeCell ref="D22:D23"/>
    <mergeCell ref="D26:D27"/>
    <mergeCell ref="D32:D33"/>
    <mergeCell ref="F32:F33"/>
    <mergeCell ref="E28:E29"/>
    <mergeCell ref="E30:E31"/>
    <mergeCell ref="E32:E33"/>
    <mergeCell ref="I10:I11"/>
    <mergeCell ref="F24:F25"/>
    <mergeCell ref="F20:F21"/>
    <mergeCell ref="D14:D15"/>
    <mergeCell ref="B6:B7"/>
    <mergeCell ref="C18:C19"/>
    <mergeCell ref="D18:D19"/>
    <mergeCell ref="C10:C11"/>
    <mergeCell ref="F6:H6"/>
    <mergeCell ref="I6:I7"/>
    <mergeCell ref="E6:E7"/>
    <mergeCell ref="D6:D7"/>
    <mergeCell ref="F22:F23"/>
    <mergeCell ref="H20:H21"/>
    <mergeCell ref="G20:G21"/>
    <mergeCell ref="H22:H23"/>
    <mergeCell ref="H24:H25"/>
    <mergeCell ref="C16:C17"/>
    <mergeCell ref="C22:C23"/>
    <mergeCell ref="F14:F15"/>
    <mergeCell ref="G14:G15"/>
    <mergeCell ref="H14:H15"/>
    <mergeCell ref="I14:I15"/>
    <mergeCell ref="I18:I19"/>
    <mergeCell ref="I58:I59"/>
    <mergeCell ref="I60:I61"/>
    <mergeCell ref="I62:I63"/>
    <mergeCell ref="H50:H51"/>
    <mergeCell ref="I64:I65"/>
    <mergeCell ref="H56:H57"/>
    <mergeCell ref="H58:H59"/>
    <mergeCell ref="H60:H61"/>
    <mergeCell ref="H62:H63"/>
    <mergeCell ref="H64:H65"/>
    <mergeCell ref="I52:I53"/>
    <mergeCell ref="I54:I55"/>
    <mergeCell ref="I56:I57"/>
    <mergeCell ref="H54:H55"/>
    <mergeCell ref="I46:I47"/>
    <mergeCell ref="I48:I49"/>
    <mergeCell ref="I50:I51"/>
    <mergeCell ref="I22:I23"/>
    <mergeCell ref="I24:I25"/>
    <mergeCell ref="I20:I21"/>
    <mergeCell ref="I26:I27"/>
    <mergeCell ref="I34:I35"/>
    <mergeCell ref="I36:I37"/>
    <mergeCell ref="I38:I39"/>
    <mergeCell ref="I40:I41"/>
    <mergeCell ref="I28:I29"/>
    <mergeCell ref="I30:I31"/>
    <mergeCell ref="I32:I33"/>
    <mergeCell ref="I42:I43"/>
    <mergeCell ref="I44:I45"/>
    <mergeCell ref="I80:I81"/>
    <mergeCell ref="I82:I83"/>
    <mergeCell ref="F68:F69"/>
    <mergeCell ref="F66:F67"/>
    <mergeCell ref="I84:I85"/>
    <mergeCell ref="I86:I87"/>
    <mergeCell ref="I66:I67"/>
    <mergeCell ref="I78:I79"/>
    <mergeCell ref="I74:I75"/>
    <mergeCell ref="I76:I77"/>
    <mergeCell ref="H72:H73"/>
    <mergeCell ref="H74:H75"/>
    <mergeCell ref="I68:I69"/>
    <mergeCell ref="I70:I71"/>
    <mergeCell ref="I72:I73"/>
    <mergeCell ref="H66:H67"/>
    <mergeCell ref="H68:H69"/>
    <mergeCell ref="H70:H71"/>
    <mergeCell ref="F74:F75"/>
    <mergeCell ref="F70:F71"/>
    <mergeCell ref="G68:G69"/>
    <mergeCell ref="F80:F81"/>
    <mergeCell ref="G80:G81"/>
    <mergeCell ref="F82:F83"/>
    <mergeCell ref="H78:H79"/>
    <mergeCell ref="E56:E57"/>
    <mergeCell ref="C40:C41"/>
    <mergeCell ref="C50:C51"/>
    <mergeCell ref="C36:C37"/>
    <mergeCell ref="C34:C35"/>
    <mergeCell ref="C38:C39"/>
    <mergeCell ref="C74:C75"/>
    <mergeCell ref="C72:C73"/>
    <mergeCell ref="F34:F35"/>
    <mergeCell ref="F76:F77"/>
    <mergeCell ref="F48:F49"/>
    <mergeCell ref="F50:F51"/>
    <mergeCell ref="G56:G57"/>
    <mergeCell ref="G52:G53"/>
    <mergeCell ref="F56:F57"/>
    <mergeCell ref="F58:F59"/>
    <mergeCell ref="F60:F61"/>
    <mergeCell ref="E54:E55"/>
    <mergeCell ref="H42:H43"/>
    <mergeCell ref="H44:H45"/>
    <mergeCell ref="H46:H47"/>
    <mergeCell ref="G58:G59"/>
    <mergeCell ref="G44:G45"/>
    <mergeCell ref="F72:F73"/>
    <mergeCell ref="G66:G67"/>
    <mergeCell ref="F46:F47"/>
    <mergeCell ref="H52:H53"/>
    <mergeCell ref="G60:G61"/>
    <mergeCell ref="G42:G43"/>
    <mergeCell ref="G46:G47"/>
    <mergeCell ref="F52:F53"/>
    <mergeCell ref="F54:F55"/>
    <mergeCell ref="F44:F45"/>
    <mergeCell ref="F42:F43"/>
    <mergeCell ref="F64:F65"/>
    <mergeCell ref="B1:I1"/>
    <mergeCell ref="C92:C93"/>
    <mergeCell ref="D92:D93"/>
    <mergeCell ref="C94:C95"/>
    <mergeCell ref="D94:D95"/>
    <mergeCell ref="F90:F91"/>
    <mergeCell ref="G90:G91"/>
    <mergeCell ref="H90:H91"/>
    <mergeCell ref="C26:C27"/>
    <mergeCell ref="C20:C21"/>
    <mergeCell ref="C24:C25"/>
    <mergeCell ref="C28:C29"/>
    <mergeCell ref="C46:C47"/>
    <mergeCell ref="C58:C59"/>
    <mergeCell ref="C68:C69"/>
    <mergeCell ref="C70:C71"/>
    <mergeCell ref="C52:C53"/>
    <mergeCell ref="C56:C57"/>
    <mergeCell ref="C64:C65"/>
    <mergeCell ref="C80:C81"/>
    <mergeCell ref="C82:C83"/>
    <mergeCell ref="C84:C85"/>
    <mergeCell ref="C62:C63"/>
    <mergeCell ref="C54:C55"/>
    <mergeCell ref="D110:D111"/>
    <mergeCell ref="C112:C113"/>
    <mergeCell ref="D112:D113"/>
    <mergeCell ref="C114:C115"/>
    <mergeCell ref="D114:D115"/>
    <mergeCell ref="C96:C97"/>
    <mergeCell ref="D96:D97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C116:C117"/>
    <mergeCell ref="D116:D117"/>
    <mergeCell ref="F92:F93"/>
    <mergeCell ref="G92:G93"/>
    <mergeCell ref="H92:H93"/>
    <mergeCell ref="I92:I93"/>
    <mergeCell ref="F94:F95"/>
    <mergeCell ref="G94:G95"/>
    <mergeCell ref="H94:H95"/>
    <mergeCell ref="I94:I95"/>
    <mergeCell ref="F96:F97"/>
    <mergeCell ref="G96:G97"/>
    <mergeCell ref="H96:H97"/>
    <mergeCell ref="I96:I97"/>
    <mergeCell ref="F98:F99"/>
    <mergeCell ref="G98:G99"/>
    <mergeCell ref="H98:H99"/>
    <mergeCell ref="I98:I99"/>
    <mergeCell ref="F100:F101"/>
    <mergeCell ref="C106:C107"/>
    <mergeCell ref="D106:D107"/>
    <mergeCell ref="C108:C109"/>
    <mergeCell ref="D108:D109"/>
    <mergeCell ref="C110:C111"/>
    <mergeCell ref="G100:G101"/>
    <mergeCell ref="H100:H101"/>
    <mergeCell ref="I100:I101"/>
    <mergeCell ref="F102:F103"/>
    <mergeCell ref="G102:G103"/>
    <mergeCell ref="H102:H103"/>
    <mergeCell ref="I102:I103"/>
    <mergeCell ref="F104:F105"/>
    <mergeCell ref="G104:G105"/>
    <mergeCell ref="H104:H105"/>
    <mergeCell ref="I104:I105"/>
    <mergeCell ref="G110:G111"/>
    <mergeCell ref="H110:H111"/>
    <mergeCell ref="I110:I111"/>
    <mergeCell ref="F112:F113"/>
    <mergeCell ref="G112:G113"/>
    <mergeCell ref="H112:H113"/>
    <mergeCell ref="I112:I113"/>
    <mergeCell ref="F106:F107"/>
    <mergeCell ref="G106:G107"/>
    <mergeCell ref="H106:H107"/>
    <mergeCell ref="I106:I107"/>
    <mergeCell ref="F108:F109"/>
    <mergeCell ref="G108:G109"/>
    <mergeCell ref="H108:H109"/>
    <mergeCell ref="I108:I109"/>
    <mergeCell ref="F110:F111"/>
    <mergeCell ref="F127:I127"/>
    <mergeCell ref="F114:F115"/>
    <mergeCell ref="G114:G115"/>
    <mergeCell ref="H114:H115"/>
    <mergeCell ref="I114:I115"/>
    <mergeCell ref="F116:F117"/>
    <mergeCell ref="G116:G117"/>
    <mergeCell ref="H116:H117"/>
    <mergeCell ref="I116:I117"/>
  </mergeCells>
  <pageMargins left="1.23" right="0.19685039370078741" top="0.35433070866141736" bottom="0.62" header="0.31496062992125984" footer="0.31496062992125984"/>
  <pageSetup paperSize="10002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73"/>
  <sheetViews>
    <sheetView zoomScaleNormal="100" workbookViewId="0">
      <selection activeCell="C92" sqref="C92:C93"/>
    </sheetView>
  </sheetViews>
  <sheetFormatPr defaultRowHeight="15" x14ac:dyDescent="0.25"/>
  <cols>
    <col min="1" max="1" width="2.85546875" style="8" customWidth="1"/>
    <col min="2" max="2" width="31.140625" style="8" customWidth="1"/>
    <col min="3" max="3" width="12.28515625" style="2" customWidth="1"/>
    <col min="4" max="4" width="23" style="8" customWidth="1"/>
    <col min="5" max="5" width="8.85546875" style="8" customWidth="1"/>
    <col min="6" max="6" width="13.85546875" style="3" customWidth="1"/>
    <col min="7" max="7" width="11.42578125" style="3" customWidth="1"/>
    <col min="8" max="8" width="12.140625" style="3" customWidth="1"/>
    <col min="9" max="9" width="12.42578125" style="8" customWidth="1"/>
    <col min="10" max="10" width="5" style="8" customWidth="1"/>
    <col min="11" max="11" width="12.5703125" style="8" customWidth="1"/>
    <col min="12" max="12" width="12.28515625" style="8" customWidth="1"/>
    <col min="13" max="13" width="12.5703125" style="8" customWidth="1"/>
    <col min="14" max="14" width="12.28515625" style="8" customWidth="1"/>
    <col min="15" max="15" width="12.140625" style="8" customWidth="1"/>
    <col min="16" max="16" width="4" style="8" customWidth="1"/>
    <col min="17" max="17" width="9.85546875" style="8" customWidth="1"/>
    <col min="18" max="18" width="11.5703125" style="8" customWidth="1"/>
    <col min="19" max="19" width="8.7109375" style="8" customWidth="1"/>
    <col min="20" max="20" width="16.28515625" style="8" customWidth="1"/>
    <col min="21" max="21" width="17" style="8" customWidth="1"/>
    <col min="22" max="22" width="15.7109375" style="8" bestFit="1" customWidth="1"/>
    <col min="23" max="23" width="22" style="8" customWidth="1"/>
    <col min="24" max="24" width="14" style="8" customWidth="1"/>
    <col min="25" max="25" width="22" style="8" customWidth="1"/>
    <col min="26" max="16384" width="9.140625" style="8"/>
  </cols>
  <sheetData>
    <row r="2" spans="1:23" ht="15.75" x14ac:dyDescent="0.25">
      <c r="A2" s="386" t="s">
        <v>454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</row>
    <row r="3" spans="1:23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</row>
    <row r="4" spans="1:23" x14ac:dyDescent="0.25">
      <c r="A4" s="19"/>
      <c r="B4" s="19"/>
      <c r="C4" s="19"/>
      <c r="D4" s="19"/>
      <c r="E4" s="160"/>
      <c r="F4" s="19"/>
      <c r="G4" s="30"/>
      <c r="H4" s="30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3" x14ac:dyDescent="0.25">
      <c r="A5" s="8" t="s">
        <v>84</v>
      </c>
      <c r="C5" s="9" t="s">
        <v>85</v>
      </c>
      <c r="M5" s="3"/>
    </row>
    <row r="6" spans="1:23" x14ac:dyDescent="0.25">
      <c r="A6" s="8" t="s">
        <v>90</v>
      </c>
      <c r="C6" s="247" t="s">
        <v>470</v>
      </c>
      <c r="F6" s="48"/>
      <c r="I6" s="3"/>
      <c r="J6" s="50"/>
      <c r="K6" s="3"/>
      <c r="L6" s="3"/>
      <c r="M6" s="52"/>
      <c r="N6" s="51"/>
      <c r="O6" s="51"/>
      <c r="Q6" s="51"/>
      <c r="R6" s="51"/>
    </row>
    <row r="7" spans="1:23" x14ac:dyDescent="0.25">
      <c r="F7" s="62"/>
    </row>
    <row r="8" spans="1:23" ht="33" customHeight="1" x14ac:dyDescent="0.25">
      <c r="A8" s="445" t="s">
        <v>1</v>
      </c>
      <c r="B8" s="445" t="s">
        <v>21</v>
      </c>
      <c r="C8" s="367" t="s">
        <v>257</v>
      </c>
      <c r="D8" s="446" t="s">
        <v>4</v>
      </c>
      <c r="E8" s="367" t="s">
        <v>5</v>
      </c>
      <c r="F8" s="141" t="s">
        <v>22</v>
      </c>
      <c r="G8" s="448" t="s">
        <v>26</v>
      </c>
      <c r="H8" s="448" t="s">
        <v>179</v>
      </c>
      <c r="I8" s="445" t="s">
        <v>264</v>
      </c>
      <c r="J8" s="445"/>
      <c r="K8" s="445"/>
      <c r="L8" s="445" t="s">
        <v>24</v>
      </c>
      <c r="M8" s="445"/>
      <c r="N8" s="445"/>
      <c r="O8" s="437" t="s">
        <v>25</v>
      </c>
      <c r="P8" s="438" t="s">
        <v>27</v>
      </c>
      <c r="Q8" s="439"/>
      <c r="R8" s="437" t="s">
        <v>28</v>
      </c>
      <c r="S8" s="437" t="s">
        <v>29</v>
      </c>
    </row>
    <row r="9" spans="1:23" ht="62.25" customHeight="1" x14ac:dyDescent="0.25">
      <c r="A9" s="445"/>
      <c r="B9" s="445"/>
      <c r="C9" s="368"/>
      <c r="D9" s="447"/>
      <c r="E9" s="368"/>
      <c r="F9" s="18" t="s">
        <v>23</v>
      </c>
      <c r="G9" s="449"/>
      <c r="H9" s="449"/>
      <c r="I9" s="16" t="s">
        <v>421</v>
      </c>
      <c r="J9" s="17" t="s">
        <v>265</v>
      </c>
      <c r="K9" s="16" t="s">
        <v>8</v>
      </c>
      <c r="L9" s="16" t="s">
        <v>422</v>
      </c>
      <c r="M9" s="17" t="s">
        <v>30</v>
      </c>
      <c r="N9" s="16" t="s">
        <v>8</v>
      </c>
      <c r="O9" s="437"/>
      <c r="P9" s="440"/>
      <c r="Q9" s="441"/>
      <c r="R9" s="437"/>
      <c r="S9" s="437"/>
    </row>
    <row r="10" spans="1:23" s="1" customFormat="1" x14ac:dyDescent="0.25">
      <c r="A10" s="10">
        <v>1</v>
      </c>
      <c r="B10" s="10">
        <v>2</v>
      </c>
      <c r="C10" s="10">
        <v>3</v>
      </c>
      <c r="D10" s="60">
        <v>4</v>
      </c>
      <c r="E10" s="159">
        <v>5</v>
      </c>
      <c r="F10" s="7">
        <v>6</v>
      </c>
      <c r="G10" s="7" t="s">
        <v>342</v>
      </c>
      <c r="H10" s="7" t="s">
        <v>343</v>
      </c>
      <c r="I10" s="10" t="s">
        <v>423</v>
      </c>
      <c r="J10" s="10">
        <v>10</v>
      </c>
      <c r="K10" s="136" t="s">
        <v>344</v>
      </c>
      <c r="L10" s="10" t="s">
        <v>424</v>
      </c>
      <c r="M10" s="10">
        <v>13</v>
      </c>
      <c r="N10" s="10" t="s">
        <v>345</v>
      </c>
      <c r="O10" s="10" t="s">
        <v>346</v>
      </c>
      <c r="P10" s="442">
        <v>16</v>
      </c>
      <c r="Q10" s="443"/>
      <c r="R10" s="10" t="s">
        <v>347</v>
      </c>
      <c r="S10" s="61">
        <v>18</v>
      </c>
      <c r="U10" s="1" t="s">
        <v>526</v>
      </c>
      <c r="V10" s="1" t="s">
        <v>527</v>
      </c>
    </row>
    <row r="11" spans="1:23" ht="9.75" customHeight="1" x14ac:dyDescent="0.25">
      <c r="A11" s="168"/>
      <c r="B11" s="67"/>
      <c r="C11" s="180"/>
      <c r="D11" s="180"/>
      <c r="E11" s="184"/>
      <c r="F11" s="182"/>
      <c r="G11" s="182"/>
      <c r="H11" s="182"/>
      <c r="I11" s="182"/>
      <c r="J11" s="183"/>
      <c r="K11" s="182"/>
      <c r="L11" s="182"/>
      <c r="M11" s="182"/>
      <c r="N11" s="182"/>
      <c r="O11" s="182"/>
      <c r="P11" s="183"/>
      <c r="Q11" s="182"/>
      <c r="R11" s="182"/>
      <c r="S11" s="83"/>
      <c r="T11" s="181"/>
      <c r="U11" s="181">
        <f>SUM(O12+G12)</f>
        <v>1288527</v>
      </c>
      <c r="V11" s="29" cm="1">
        <f t="array" ref="V11">SUM('[1]TPP BK'!$O$12:$O$13+'[1]TPP BK'!$G$12:$G$13)</f>
        <v>1288527</v>
      </c>
      <c r="W11" s="29">
        <f>SUM(U11:V11)</f>
        <v>2577054</v>
      </c>
    </row>
    <row r="12" spans="1:23" ht="15" customHeight="1" x14ac:dyDescent="0.25">
      <c r="A12" s="80">
        <v>1</v>
      </c>
      <c r="B12" s="44" t="s">
        <v>465</v>
      </c>
      <c r="C12" s="351" t="s">
        <v>258</v>
      </c>
      <c r="D12" s="367" t="s">
        <v>469</v>
      </c>
      <c r="E12" s="428">
        <f>SUM('PK PNS'!E10:E11)</f>
        <v>9020</v>
      </c>
      <c r="F12" s="423">
        <v>1288527</v>
      </c>
      <c r="G12" s="423">
        <f t="shared" ref="G12:G76" si="0">SUM(F12*1%)</f>
        <v>12885.27</v>
      </c>
      <c r="H12" s="423">
        <f t="shared" ref="H12:H76" si="1">SUM(F12-G12)</f>
        <v>1275641.73</v>
      </c>
      <c r="I12" s="423">
        <f>SUM(H12*60%)</f>
        <v>765385.03799999994</v>
      </c>
      <c r="J12" s="425">
        <f>SUM('PK PNS'!I10:I11)</f>
        <v>1</v>
      </c>
      <c r="K12" s="423">
        <f t="shared" ref="K12:K76" si="2">SUM(I12*J12)</f>
        <v>765385.03799999994</v>
      </c>
      <c r="L12" s="423">
        <f>SUM(H12*40%)</f>
        <v>510256.69200000004</v>
      </c>
      <c r="M12" s="423">
        <f>SUM(L12*Tabel_Perhitungan!AB12)</f>
        <v>0</v>
      </c>
      <c r="N12" s="423">
        <f t="shared" ref="N12:N76" si="3">SUM(L12-M12)</f>
        <v>510256.69200000004</v>
      </c>
      <c r="O12" s="423">
        <f t="shared" ref="O12:O76" si="4">SUM(K12+N12)</f>
        <v>1275641.73</v>
      </c>
      <c r="P12" s="425">
        <v>0.15</v>
      </c>
      <c r="Q12" s="423">
        <f t="shared" ref="Q12:Q76" si="5">SUM(O12*P12)</f>
        <v>191346.25949999999</v>
      </c>
      <c r="R12" s="423">
        <f t="shared" ref="R12:R76" si="6">SUM(O12-Q12)</f>
        <v>1084295.4705000001</v>
      </c>
      <c r="S12" s="82">
        <v>1</v>
      </c>
      <c r="T12" s="427"/>
      <c r="U12" s="427" cm="1">
        <f t="array" ref="U12">SUM('TPP KK'!O12:O13+'TPP KK'!G12:G13)</f>
        <v>453089</v>
      </c>
      <c r="V12" s="427" cm="1">
        <f t="array" ref="V12">SUM('TPP KK'!P12:P13+'TPP KK'!H12:H13)</f>
        <v>448558.26</v>
      </c>
      <c r="W12" s="172">
        <f>SUM(U12:V13)</f>
        <v>901647.26</v>
      </c>
    </row>
    <row r="13" spans="1:23" ht="15" customHeight="1" x14ac:dyDescent="0.25">
      <c r="A13" s="81"/>
      <c r="B13" s="316" t="s">
        <v>468</v>
      </c>
      <c r="C13" s="352"/>
      <c r="D13" s="368"/>
      <c r="E13" s="429"/>
      <c r="F13" s="424"/>
      <c r="G13" s="424"/>
      <c r="H13" s="424"/>
      <c r="I13" s="424"/>
      <c r="J13" s="426"/>
      <c r="K13" s="424"/>
      <c r="L13" s="424"/>
      <c r="M13" s="424"/>
      <c r="N13" s="424"/>
      <c r="O13" s="424"/>
      <c r="P13" s="426"/>
      <c r="Q13" s="424"/>
      <c r="R13" s="424"/>
      <c r="S13" s="83"/>
      <c r="T13" s="427"/>
      <c r="U13" s="427"/>
      <c r="V13" s="427"/>
      <c r="W13" s="4"/>
    </row>
    <row r="14" spans="1:23" ht="15" customHeight="1" x14ac:dyDescent="0.25">
      <c r="A14" s="134">
        <v>2</v>
      </c>
      <c r="B14" s="31" t="s">
        <v>133</v>
      </c>
      <c r="C14" s="351" t="s">
        <v>258</v>
      </c>
      <c r="D14" s="367" t="s">
        <v>461</v>
      </c>
      <c r="E14" s="428">
        <f>SUM('PK PNS'!E12:E13)</f>
        <v>8460</v>
      </c>
      <c r="F14" s="423">
        <v>1117734</v>
      </c>
      <c r="G14" s="423">
        <f t="shared" ref="G14" si="7">SUM(F14*1%)</f>
        <v>11177.34</v>
      </c>
      <c r="H14" s="423">
        <f t="shared" ref="H14" si="8">SUM(F14-G14)</f>
        <v>1106556.6599999999</v>
      </c>
      <c r="I14" s="423">
        <f>SUM(H14*60%)</f>
        <v>663933.99599999993</v>
      </c>
      <c r="J14" s="425">
        <f>SUM('PK PNS'!I12:I13)</f>
        <v>1</v>
      </c>
      <c r="K14" s="423">
        <f t="shared" ref="K14" si="9">SUM(I14*J14)</f>
        <v>663933.99599999993</v>
      </c>
      <c r="L14" s="423">
        <f>SUM(H14*40%)</f>
        <v>442622.66399999999</v>
      </c>
      <c r="M14" s="423">
        <f>SUM(L14*Tabel_Perhitungan!AB14)</f>
        <v>0</v>
      </c>
      <c r="N14" s="423">
        <f t="shared" ref="N14" si="10">SUM(L14-M14)</f>
        <v>442622.66399999999</v>
      </c>
      <c r="O14" s="423">
        <f t="shared" ref="O14" si="11">SUM(K14+N14)</f>
        <v>1106556.6599999999</v>
      </c>
      <c r="P14" s="425">
        <v>0.15</v>
      </c>
      <c r="Q14" s="423">
        <f t="shared" ref="Q14" si="12">SUM(O14*P14)</f>
        <v>165983.49899999998</v>
      </c>
      <c r="R14" s="423">
        <f t="shared" ref="R14" si="13">SUM(O14-Q14)</f>
        <v>940573.16099999996</v>
      </c>
      <c r="S14" s="82">
        <v>2</v>
      </c>
      <c r="T14" s="181"/>
      <c r="U14" s="181"/>
      <c r="V14" s="172"/>
      <c r="W14" s="4"/>
    </row>
    <row r="15" spans="1:23" ht="15" customHeight="1" x14ac:dyDescent="0.25">
      <c r="A15" s="88"/>
      <c r="B15" s="34" t="s">
        <v>134</v>
      </c>
      <c r="C15" s="352"/>
      <c r="D15" s="368"/>
      <c r="E15" s="429"/>
      <c r="F15" s="424"/>
      <c r="G15" s="424"/>
      <c r="H15" s="424"/>
      <c r="I15" s="424"/>
      <c r="J15" s="426"/>
      <c r="K15" s="424"/>
      <c r="L15" s="424"/>
      <c r="M15" s="424"/>
      <c r="N15" s="424"/>
      <c r="O15" s="424"/>
      <c r="P15" s="426"/>
      <c r="Q15" s="424"/>
      <c r="R15" s="424"/>
      <c r="S15" s="87"/>
      <c r="T15" s="427"/>
      <c r="U15" s="427"/>
      <c r="V15" s="172"/>
      <c r="W15" s="4"/>
    </row>
    <row r="16" spans="1:23" ht="15" customHeight="1" x14ac:dyDescent="0.25">
      <c r="A16" s="134">
        <v>3</v>
      </c>
      <c r="B16" s="31" t="s">
        <v>136</v>
      </c>
      <c r="C16" s="351" t="s">
        <v>259</v>
      </c>
      <c r="D16" s="351" t="s">
        <v>275</v>
      </c>
      <c r="E16" s="428">
        <f>SUM('PK PNS'!E14:E15)</f>
        <v>8400</v>
      </c>
      <c r="F16" s="423">
        <v>966432</v>
      </c>
      <c r="G16" s="423">
        <f t="shared" si="0"/>
        <v>9664.32</v>
      </c>
      <c r="H16" s="423">
        <f t="shared" si="1"/>
        <v>956767.68</v>
      </c>
      <c r="I16" s="423">
        <f>SUM(H16*60%)</f>
        <v>574060.60800000001</v>
      </c>
      <c r="J16" s="425">
        <f>SUM('PK PNS'!I14:I15)</f>
        <v>1</v>
      </c>
      <c r="K16" s="423">
        <f t="shared" si="2"/>
        <v>574060.60800000001</v>
      </c>
      <c r="L16" s="423">
        <f t="shared" ref="L16" si="14">SUM(H16*40%)</f>
        <v>382707.07200000004</v>
      </c>
      <c r="M16" s="423">
        <f>SUM(L16*Tabel_Perhitungan!AB16)</f>
        <v>0</v>
      </c>
      <c r="N16" s="423">
        <f t="shared" si="3"/>
        <v>382707.07200000004</v>
      </c>
      <c r="O16" s="423">
        <f t="shared" si="4"/>
        <v>956767.68</v>
      </c>
      <c r="P16" s="425">
        <v>0.15</v>
      </c>
      <c r="Q16" s="423">
        <f t="shared" si="5"/>
        <v>143515.152</v>
      </c>
      <c r="R16" s="423">
        <f t="shared" si="6"/>
        <v>813252.52800000005</v>
      </c>
      <c r="S16" s="82">
        <v>3</v>
      </c>
      <c r="T16" s="427"/>
      <c r="U16" s="427"/>
      <c r="V16" s="172"/>
      <c r="W16" s="4"/>
    </row>
    <row r="17" spans="1:23" ht="15" customHeight="1" x14ac:dyDescent="0.25">
      <c r="A17" s="101"/>
      <c r="B17" s="35" t="s">
        <v>135</v>
      </c>
      <c r="C17" s="369"/>
      <c r="D17" s="369"/>
      <c r="E17" s="429"/>
      <c r="F17" s="424"/>
      <c r="G17" s="424"/>
      <c r="H17" s="424"/>
      <c r="I17" s="424"/>
      <c r="J17" s="426"/>
      <c r="K17" s="424"/>
      <c r="L17" s="424"/>
      <c r="M17" s="424"/>
      <c r="N17" s="424"/>
      <c r="O17" s="424"/>
      <c r="P17" s="426"/>
      <c r="Q17" s="424"/>
      <c r="R17" s="424"/>
      <c r="S17" s="83"/>
      <c r="T17" s="427"/>
      <c r="U17" s="427"/>
      <c r="V17" s="172"/>
      <c r="W17" s="4"/>
    </row>
    <row r="18" spans="1:23" ht="15" customHeight="1" x14ac:dyDescent="0.25">
      <c r="A18" s="134">
        <v>4</v>
      </c>
      <c r="B18" s="98" t="s">
        <v>244</v>
      </c>
      <c r="C18" s="351" t="s">
        <v>259</v>
      </c>
      <c r="D18" s="351" t="s">
        <v>274</v>
      </c>
      <c r="E18" s="428">
        <f>SUM('PK PNS'!E16:E17)</f>
        <v>6870</v>
      </c>
      <c r="F18" s="423">
        <v>966432</v>
      </c>
      <c r="G18" s="423">
        <f t="shared" si="0"/>
        <v>9664.32</v>
      </c>
      <c r="H18" s="423">
        <f>SUM(F18-G18)</f>
        <v>956767.68</v>
      </c>
      <c r="I18" s="423">
        <f>SUM(H18*60%)</f>
        <v>574060.60800000001</v>
      </c>
      <c r="J18" s="425">
        <f>SUM('PK PNS'!I16:I17)</f>
        <v>1</v>
      </c>
      <c r="K18" s="423">
        <f t="shared" si="2"/>
        <v>574060.60800000001</v>
      </c>
      <c r="L18" s="423">
        <f t="shared" ref="L18" si="15">SUM(H18*40%)</f>
        <v>382707.07200000004</v>
      </c>
      <c r="M18" s="423">
        <f>SUM(L18*Tabel_Perhitungan!AB18)</f>
        <v>0</v>
      </c>
      <c r="N18" s="423">
        <f>SUM(L18-M18)</f>
        <v>382707.07200000004</v>
      </c>
      <c r="O18" s="423">
        <f>SUM(K18+N18)</f>
        <v>956767.68</v>
      </c>
      <c r="P18" s="430">
        <v>0.15</v>
      </c>
      <c r="Q18" s="423">
        <f>SUM(O18*P18)</f>
        <v>143515.152</v>
      </c>
      <c r="R18" s="423">
        <f>SUM(O18-Q18)</f>
        <v>813252.52800000005</v>
      </c>
      <c r="S18" s="82">
        <v>4</v>
      </c>
      <c r="T18" s="427"/>
      <c r="U18" s="427"/>
      <c r="V18" s="172"/>
      <c r="W18" s="4"/>
    </row>
    <row r="19" spans="1:23" ht="15" customHeight="1" x14ac:dyDescent="0.25">
      <c r="A19" s="101"/>
      <c r="B19" s="102" t="s">
        <v>240</v>
      </c>
      <c r="C19" s="369"/>
      <c r="D19" s="352"/>
      <c r="E19" s="429"/>
      <c r="F19" s="424"/>
      <c r="G19" s="424"/>
      <c r="H19" s="424"/>
      <c r="I19" s="424"/>
      <c r="J19" s="426"/>
      <c r="K19" s="424"/>
      <c r="L19" s="424"/>
      <c r="M19" s="424"/>
      <c r="N19" s="424"/>
      <c r="O19" s="424"/>
      <c r="P19" s="431"/>
      <c r="Q19" s="424"/>
      <c r="R19" s="424"/>
      <c r="S19" s="83"/>
      <c r="T19" s="427"/>
      <c r="U19" s="427"/>
      <c r="V19" s="172"/>
      <c r="W19" s="4"/>
    </row>
    <row r="20" spans="1:23" ht="15" customHeight="1" x14ac:dyDescent="0.25">
      <c r="A20" s="134">
        <v>5</v>
      </c>
      <c r="B20" s="127" t="s">
        <v>348</v>
      </c>
      <c r="C20" s="353" t="s">
        <v>259</v>
      </c>
      <c r="D20" s="351" t="s">
        <v>350</v>
      </c>
      <c r="E20" s="428">
        <f>SUM('PK PNS'!E18:E19)</f>
        <v>7643</v>
      </c>
      <c r="F20" s="423">
        <v>966432</v>
      </c>
      <c r="G20" s="423">
        <f t="shared" si="0"/>
        <v>9664.32</v>
      </c>
      <c r="H20" s="423">
        <f>SUM(F20-G20)</f>
        <v>956767.68</v>
      </c>
      <c r="I20" s="423">
        <f>SUM(H20*60%)</f>
        <v>574060.60800000001</v>
      </c>
      <c r="J20" s="425">
        <f>SUM('PK PNS'!I18:I19)</f>
        <v>1</v>
      </c>
      <c r="K20" s="423">
        <f t="shared" si="2"/>
        <v>574060.60800000001</v>
      </c>
      <c r="L20" s="423">
        <f t="shared" ref="L20" si="16">SUM(H20*40%)</f>
        <v>382707.07200000004</v>
      </c>
      <c r="M20" s="423">
        <f>SUM(L20*Tabel_Perhitungan!AB20)</f>
        <v>0</v>
      </c>
      <c r="N20" s="423">
        <f>SUM(L20-M20)</f>
        <v>382707.07200000004</v>
      </c>
      <c r="O20" s="423">
        <f>SUM(K20+N20)</f>
        <v>956767.68</v>
      </c>
      <c r="P20" s="425">
        <v>0.15</v>
      </c>
      <c r="Q20" s="423">
        <f>SUM(O20*P20)</f>
        <v>143515.152</v>
      </c>
      <c r="R20" s="423">
        <f>SUM(O20-Q20)</f>
        <v>813252.52800000005</v>
      </c>
      <c r="S20" s="82">
        <v>5</v>
      </c>
      <c r="T20" s="427"/>
      <c r="U20" s="427"/>
      <c r="V20" s="172"/>
      <c r="W20" s="4"/>
    </row>
    <row r="21" spans="1:23" ht="15" customHeight="1" x14ac:dyDescent="0.25">
      <c r="A21" s="101"/>
      <c r="B21" s="189" t="s">
        <v>349</v>
      </c>
      <c r="C21" s="432"/>
      <c r="D21" s="369"/>
      <c r="E21" s="429"/>
      <c r="F21" s="424"/>
      <c r="G21" s="424"/>
      <c r="H21" s="450"/>
      <c r="I21" s="424"/>
      <c r="J21" s="426"/>
      <c r="K21" s="424"/>
      <c r="L21" s="424"/>
      <c r="M21" s="424"/>
      <c r="N21" s="450"/>
      <c r="O21" s="450"/>
      <c r="P21" s="450"/>
      <c r="Q21" s="450"/>
      <c r="R21" s="450"/>
      <c r="S21" s="83"/>
      <c r="T21" s="427"/>
      <c r="U21" s="427"/>
      <c r="V21" s="172"/>
      <c r="W21" s="4"/>
    </row>
    <row r="22" spans="1:23" ht="15" customHeight="1" x14ac:dyDescent="0.25">
      <c r="A22" s="134">
        <v>6</v>
      </c>
      <c r="B22" s="37" t="s">
        <v>140</v>
      </c>
      <c r="C22" s="236" t="s">
        <v>261</v>
      </c>
      <c r="D22" s="351" t="s">
        <v>278</v>
      </c>
      <c r="E22" s="428">
        <f>SUM('PK PNS'!E20:E21)</f>
        <v>7400</v>
      </c>
      <c r="F22" s="423">
        <v>621537</v>
      </c>
      <c r="G22" s="423">
        <f t="shared" si="0"/>
        <v>6215.37</v>
      </c>
      <c r="H22" s="423">
        <f>SUM(F22-G22)</f>
        <v>615321.63</v>
      </c>
      <c r="I22" s="423">
        <f t="shared" ref="I22" si="17">SUM(H22*60%)</f>
        <v>369192.978</v>
      </c>
      <c r="J22" s="425">
        <f>SUM('PK PNS'!I20:I21)</f>
        <v>1</v>
      </c>
      <c r="K22" s="423">
        <f t="shared" si="2"/>
        <v>369192.978</v>
      </c>
      <c r="L22" s="423">
        <f t="shared" ref="L22" si="18">SUM(H22*40%)</f>
        <v>246128.652</v>
      </c>
      <c r="M22" s="423">
        <f>SUM(L22*Tabel_Perhitungan!AB22)</f>
        <v>0</v>
      </c>
      <c r="N22" s="239">
        <f>SUM(L22-M22)</f>
        <v>246128.652</v>
      </c>
      <c r="O22" s="239">
        <f>SUM(K22+N22)</f>
        <v>615321.63</v>
      </c>
      <c r="P22" s="241">
        <v>0.05</v>
      </c>
      <c r="Q22" s="239">
        <f>SUM(O22*P22)</f>
        <v>30766.0815</v>
      </c>
      <c r="R22" s="239">
        <f>SUM(O22-Q22)</f>
        <v>584555.54850000003</v>
      </c>
      <c r="S22" s="82">
        <v>6</v>
      </c>
      <c r="T22" s="427"/>
      <c r="U22" s="427"/>
      <c r="V22" s="172"/>
      <c r="W22" s="4"/>
    </row>
    <row r="23" spans="1:23" ht="15" customHeight="1" x14ac:dyDescent="0.25">
      <c r="A23" s="57"/>
      <c r="B23" s="34" t="s">
        <v>139</v>
      </c>
      <c r="C23" s="237"/>
      <c r="D23" s="352"/>
      <c r="E23" s="429"/>
      <c r="F23" s="424"/>
      <c r="G23" s="424"/>
      <c r="H23" s="424"/>
      <c r="I23" s="424"/>
      <c r="J23" s="426"/>
      <c r="K23" s="424"/>
      <c r="L23" s="424"/>
      <c r="M23" s="424"/>
      <c r="N23" s="240"/>
      <c r="O23" s="240"/>
      <c r="P23" s="242"/>
      <c r="Q23" s="240"/>
      <c r="R23" s="240"/>
      <c r="S23" s="84"/>
      <c r="T23" s="427"/>
      <c r="U23" s="427"/>
      <c r="V23" s="172"/>
      <c r="W23" s="4"/>
    </row>
    <row r="24" spans="1:23" ht="15" customHeight="1" x14ac:dyDescent="0.25">
      <c r="A24" s="134">
        <v>7</v>
      </c>
      <c r="B24" s="31" t="s">
        <v>175</v>
      </c>
      <c r="C24" s="351" t="s">
        <v>261</v>
      </c>
      <c r="D24" s="351" t="s">
        <v>276</v>
      </c>
      <c r="E24" s="428">
        <f>SUM('PK PNS'!E22:E23)</f>
        <v>7700</v>
      </c>
      <c r="F24" s="423">
        <v>499535</v>
      </c>
      <c r="G24" s="423">
        <f t="shared" si="0"/>
        <v>4995.3500000000004</v>
      </c>
      <c r="H24" s="423">
        <f t="shared" si="1"/>
        <v>494539.65</v>
      </c>
      <c r="I24" s="423">
        <f t="shared" ref="I24" si="19">SUM(H24*60%)</f>
        <v>296723.78999999998</v>
      </c>
      <c r="J24" s="425">
        <f>SUM('PK PNS'!I22:I23)</f>
        <v>1</v>
      </c>
      <c r="K24" s="423">
        <f t="shared" si="2"/>
        <v>296723.78999999998</v>
      </c>
      <c r="L24" s="423">
        <f t="shared" ref="L24" si="20">SUM(H24*40%)</f>
        <v>197815.86000000002</v>
      </c>
      <c r="M24" s="423">
        <f>SUM(L24*Tabel_Perhitungan!AB24)</f>
        <v>0</v>
      </c>
      <c r="N24" s="423">
        <f t="shared" si="3"/>
        <v>197815.86000000002</v>
      </c>
      <c r="O24" s="423">
        <f t="shared" si="4"/>
        <v>494539.65</v>
      </c>
      <c r="P24" s="425">
        <v>0.05</v>
      </c>
      <c r="Q24" s="423">
        <f t="shared" si="5"/>
        <v>24726.982500000002</v>
      </c>
      <c r="R24" s="423">
        <f t="shared" si="6"/>
        <v>469812.66750000004</v>
      </c>
      <c r="S24" s="82">
        <v>7</v>
      </c>
      <c r="T24" s="427"/>
      <c r="U24" s="427"/>
      <c r="V24" s="172"/>
      <c r="W24" s="4"/>
    </row>
    <row r="25" spans="1:23" ht="15" customHeight="1" x14ac:dyDescent="0.25">
      <c r="A25" s="101"/>
      <c r="B25" s="34" t="s">
        <v>174</v>
      </c>
      <c r="C25" s="352"/>
      <c r="D25" s="352"/>
      <c r="E25" s="429"/>
      <c r="F25" s="424"/>
      <c r="G25" s="424"/>
      <c r="H25" s="424"/>
      <c r="I25" s="424"/>
      <c r="J25" s="426"/>
      <c r="K25" s="424"/>
      <c r="L25" s="424"/>
      <c r="M25" s="424"/>
      <c r="N25" s="424"/>
      <c r="O25" s="424"/>
      <c r="P25" s="426"/>
      <c r="Q25" s="424"/>
      <c r="R25" s="424"/>
      <c r="S25" s="83"/>
      <c r="T25" s="427"/>
      <c r="U25" s="427"/>
      <c r="V25" s="172"/>
      <c r="W25" s="4"/>
    </row>
    <row r="26" spans="1:23" s="4" customFormat="1" ht="15" customHeight="1" x14ac:dyDescent="0.25">
      <c r="A26" s="58">
        <v>8</v>
      </c>
      <c r="B26" s="31" t="s">
        <v>138</v>
      </c>
      <c r="C26" s="351" t="s">
        <v>261</v>
      </c>
      <c r="D26" s="351" t="s">
        <v>382</v>
      </c>
      <c r="E26" s="428">
        <f>SUM('PK PNS'!E24:E25)</f>
        <v>7870</v>
      </c>
      <c r="F26" s="423">
        <v>1117734</v>
      </c>
      <c r="G26" s="423">
        <f t="shared" si="0"/>
        <v>11177.34</v>
      </c>
      <c r="H26" s="423">
        <f t="shared" si="1"/>
        <v>1106556.6599999999</v>
      </c>
      <c r="I26" s="423">
        <f t="shared" ref="I26" si="21">SUM(H26*60%)</f>
        <v>663933.99599999993</v>
      </c>
      <c r="J26" s="425">
        <f>SUM('PK PNS'!I24:I25)</f>
        <v>1</v>
      </c>
      <c r="K26" s="423">
        <f t="shared" si="2"/>
        <v>663933.99599999993</v>
      </c>
      <c r="L26" s="423">
        <f t="shared" ref="L26" si="22">SUM(H26*40%)</f>
        <v>442622.66399999999</v>
      </c>
      <c r="M26" s="423">
        <f>SUM(L26*Tabel_Perhitungan!AB26)</f>
        <v>0</v>
      </c>
      <c r="N26" s="423">
        <f t="shared" si="3"/>
        <v>442622.66399999999</v>
      </c>
      <c r="O26" s="423">
        <f t="shared" si="4"/>
        <v>1106556.6599999999</v>
      </c>
      <c r="P26" s="425">
        <v>0.05</v>
      </c>
      <c r="Q26" s="423">
        <f t="shared" si="5"/>
        <v>55327.832999999999</v>
      </c>
      <c r="R26" s="423">
        <f t="shared" si="6"/>
        <v>1051228.8269999998</v>
      </c>
      <c r="S26" s="85">
        <v>8</v>
      </c>
      <c r="T26" s="427"/>
      <c r="U26" s="427"/>
      <c r="V26" s="172"/>
    </row>
    <row r="27" spans="1:23" ht="15" customHeight="1" x14ac:dyDescent="0.25">
      <c r="A27" s="59"/>
      <c r="B27" s="34" t="s">
        <v>137</v>
      </c>
      <c r="C27" s="352"/>
      <c r="D27" s="369"/>
      <c r="E27" s="429"/>
      <c r="F27" s="424"/>
      <c r="G27" s="424"/>
      <c r="H27" s="424"/>
      <c r="I27" s="424"/>
      <c r="J27" s="426"/>
      <c r="K27" s="424"/>
      <c r="L27" s="424"/>
      <c r="M27" s="424"/>
      <c r="N27" s="424"/>
      <c r="O27" s="424"/>
      <c r="P27" s="426"/>
      <c r="Q27" s="424"/>
      <c r="R27" s="424"/>
      <c r="S27" s="86"/>
      <c r="T27" s="427"/>
      <c r="U27" s="427"/>
      <c r="V27" s="172"/>
      <c r="W27" s="4"/>
    </row>
    <row r="28" spans="1:23" ht="20.25" customHeight="1" x14ac:dyDescent="0.25">
      <c r="A28" s="134">
        <v>9</v>
      </c>
      <c r="B28" s="38" t="s">
        <v>34</v>
      </c>
      <c r="C28" s="351" t="s">
        <v>259</v>
      </c>
      <c r="D28" s="351" t="s">
        <v>382</v>
      </c>
      <c r="E28" s="428">
        <f>SUM('PK PNS'!E26:E27)</f>
        <v>7025</v>
      </c>
      <c r="F28" s="423">
        <v>1117734</v>
      </c>
      <c r="G28" s="423">
        <f t="shared" si="0"/>
        <v>11177.34</v>
      </c>
      <c r="H28" s="423">
        <f t="shared" si="1"/>
        <v>1106556.6599999999</v>
      </c>
      <c r="I28" s="423">
        <f t="shared" ref="I28" si="23">SUM(H28*60%)</f>
        <v>663933.99599999993</v>
      </c>
      <c r="J28" s="425">
        <f>SUM('PK PNS'!I26:I27)</f>
        <v>1</v>
      </c>
      <c r="K28" s="423">
        <f t="shared" si="2"/>
        <v>663933.99599999993</v>
      </c>
      <c r="L28" s="423">
        <f t="shared" ref="L28" si="24">SUM(H28*40%)</f>
        <v>442622.66399999999</v>
      </c>
      <c r="M28" s="423">
        <f>SUM(L28*Tabel_Perhitungan!AB28)</f>
        <v>0</v>
      </c>
      <c r="N28" s="423">
        <f t="shared" si="3"/>
        <v>442622.66399999999</v>
      </c>
      <c r="O28" s="423">
        <f t="shared" si="4"/>
        <v>1106556.6599999999</v>
      </c>
      <c r="P28" s="425">
        <v>0.15</v>
      </c>
      <c r="Q28" s="423">
        <f t="shared" si="5"/>
        <v>165983.49899999998</v>
      </c>
      <c r="R28" s="423">
        <f t="shared" si="6"/>
        <v>940573.16099999996</v>
      </c>
      <c r="S28" s="82">
        <v>9</v>
      </c>
      <c r="T28" s="427"/>
      <c r="U28" s="427"/>
      <c r="V28" s="172"/>
      <c r="W28" s="4"/>
    </row>
    <row r="29" spans="1:23" ht="15" customHeight="1" x14ac:dyDescent="0.25">
      <c r="A29" s="101"/>
      <c r="B29" s="39" t="s">
        <v>141</v>
      </c>
      <c r="C29" s="352"/>
      <c r="D29" s="369"/>
      <c r="E29" s="429"/>
      <c r="F29" s="424"/>
      <c r="G29" s="424"/>
      <c r="H29" s="424"/>
      <c r="I29" s="424"/>
      <c r="J29" s="426"/>
      <c r="K29" s="424"/>
      <c r="L29" s="424"/>
      <c r="M29" s="424"/>
      <c r="N29" s="424"/>
      <c r="O29" s="424"/>
      <c r="P29" s="426"/>
      <c r="Q29" s="424"/>
      <c r="R29" s="424"/>
      <c r="S29" s="83"/>
      <c r="T29" s="427"/>
      <c r="U29" s="427"/>
      <c r="V29" s="172"/>
      <c r="W29" s="4"/>
    </row>
    <row r="30" spans="1:23" ht="15" customHeight="1" x14ac:dyDescent="0.25">
      <c r="A30" s="134">
        <v>10</v>
      </c>
      <c r="B30" s="38" t="s">
        <v>35</v>
      </c>
      <c r="C30" s="351" t="s">
        <v>261</v>
      </c>
      <c r="D30" s="367" t="s">
        <v>351</v>
      </c>
      <c r="E30" s="428">
        <f>SUM('PK PNS'!E28:E29)</f>
        <v>8355</v>
      </c>
      <c r="F30" s="423">
        <v>620474</v>
      </c>
      <c r="G30" s="423">
        <f t="shared" si="0"/>
        <v>6204.74</v>
      </c>
      <c r="H30" s="423">
        <f t="shared" si="1"/>
        <v>614269.26</v>
      </c>
      <c r="I30" s="423">
        <f t="shared" ref="I30" si="25">SUM(H30*60%)</f>
        <v>368561.55599999998</v>
      </c>
      <c r="J30" s="425">
        <f>SUM('PK PNS'!I28:I29)</f>
        <v>1</v>
      </c>
      <c r="K30" s="423">
        <f t="shared" si="2"/>
        <v>368561.55599999998</v>
      </c>
      <c r="L30" s="423">
        <f t="shared" ref="L30" si="26">SUM(H30*40%)</f>
        <v>245707.70400000003</v>
      </c>
      <c r="M30" s="423">
        <f>SUM(L30*Tabel_Perhitungan!AB30)</f>
        <v>19042.347060000004</v>
      </c>
      <c r="N30" s="423">
        <f t="shared" si="3"/>
        <v>226665.35694000003</v>
      </c>
      <c r="O30" s="423">
        <f t="shared" si="4"/>
        <v>595226.91293999995</v>
      </c>
      <c r="P30" s="425">
        <v>0.05</v>
      </c>
      <c r="Q30" s="423">
        <f t="shared" si="5"/>
        <v>29761.345646999998</v>
      </c>
      <c r="R30" s="423">
        <f t="shared" si="6"/>
        <v>565465.56729299994</v>
      </c>
      <c r="S30" s="82">
        <v>10</v>
      </c>
      <c r="T30" s="427"/>
      <c r="U30" s="427"/>
      <c r="V30" s="172"/>
      <c r="W30" s="4"/>
    </row>
    <row r="31" spans="1:23" ht="19.5" customHeight="1" x14ac:dyDescent="0.25">
      <c r="A31" s="101"/>
      <c r="B31" s="40" t="s">
        <v>142</v>
      </c>
      <c r="C31" s="352"/>
      <c r="D31" s="370"/>
      <c r="E31" s="429"/>
      <c r="F31" s="424"/>
      <c r="G31" s="424"/>
      <c r="H31" s="424"/>
      <c r="I31" s="424"/>
      <c r="J31" s="426"/>
      <c r="K31" s="424"/>
      <c r="L31" s="424"/>
      <c r="M31" s="424"/>
      <c r="N31" s="424"/>
      <c r="O31" s="424"/>
      <c r="P31" s="426"/>
      <c r="Q31" s="424"/>
      <c r="R31" s="424"/>
      <c r="S31" s="83"/>
      <c r="T31" s="427"/>
      <c r="U31" s="427"/>
      <c r="V31" s="172"/>
      <c r="W31" s="4"/>
    </row>
    <row r="32" spans="1:23" ht="17.25" customHeight="1" x14ac:dyDescent="0.25">
      <c r="A32" s="134">
        <v>11</v>
      </c>
      <c r="B32" s="41" t="s">
        <v>79</v>
      </c>
      <c r="C32" s="351" t="s">
        <v>259</v>
      </c>
      <c r="D32" s="351" t="s">
        <v>382</v>
      </c>
      <c r="E32" s="428">
        <f>SUM('PK PNS'!E30:E31)</f>
        <v>8420</v>
      </c>
      <c r="F32" s="423">
        <v>1117734</v>
      </c>
      <c r="G32" s="423">
        <f t="shared" si="0"/>
        <v>11177.34</v>
      </c>
      <c r="H32" s="423">
        <f t="shared" si="1"/>
        <v>1106556.6599999999</v>
      </c>
      <c r="I32" s="423">
        <f t="shared" ref="I32" si="27">SUM(H32*60%)</f>
        <v>663933.99599999993</v>
      </c>
      <c r="J32" s="425">
        <f>SUM('PK PNS'!I30:I31)</f>
        <v>1</v>
      </c>
      <c r="K32" s="423">
        <f t="shared" si="2"/>
        <v>663933.99599999993</v>
      </c>
      <c r="L32" s="423">
        <f t="shared" ref="L32" si="28">SUM(H32*40%)</f>
        <v>442622.66399999999</v>
      </c>
      <c r="M32" s="423">
        <f>SUM(L32*Tabel_Perhitungan!AB32)</f>
        <v>13278.679919999999</v>
      </c>
      <c r="N32" s="423">
        <f t="shared" si="3"/>
        <v>429343.98407999997</v>
      </c>
      <c r="O32" s="423">
        <f t="shared" si="4"/>
        <v>1093277.9800799999</v>
      </c>
      <c r="P32" s="425">
        <v>0.15</v>
      </c>
      <c r="Q32" s="423">
        <f t="shared" si="5"/>
        <v>163991.69701199999</v>
      </c>
      <c r="R32" s="423">
        <f t="shared" si="6"/>
        <v>929286.28306799987</v>
      </c>
      <c r="S32" s="82">
        <v>11</v>
      </c>
      <c r="T32" s="427"/>
      <c r="U32" s="427"/>
      <c r="V32" s="172"/>
      <c r="W32" s="4"/>
    </row>
    <row r="33" spans="1:23" ht="20.25" customHeight="1" x14ac:dyDescent="0.25">
      <c r="A33" s="101"/>
      <c r="B33" s="46" t="s">
        <v>143</v>
      </c>
      <c r="C33" s="369"/>
      <c r="D33" s="369"/>
      <c r="E33" s="429"/>
      <c r="F33" s="424"/>
      <c r="G33" s="424"/>
      <c r="H33" s="424"/>
      <c r="I33" s="424"/>
      <c r="J33" s="426"/>
      <c r="K33" s="424"/>
      <c r="L33" s="424"/>
      <c r="M33" s="424"/>
      <c r="N33" s="424"/>
      <c r="O33" s="424"/>
      <c r="P33" s="426"/>
      <c r="Q33" s="424"/>
      <c r="R33" s="424"/>
      <c r="S33" s="83"/>
      <c r="T33" s="427"/>
      <c r="U33" s="427"/>
      <c r="V33" s="172"/>
      <c r="W33" s="4"/>
    </row>
    <row r="34" spans="1:23" ht="21.75" customHeight="1" x14ac:dyDescent="0.25">
      <c r="A34" s="134">
        <v>12</v>
      </c>
      <c r="B34" s="31" t="s">
        <v>145</v>
      </c>
      <c r="C34" s="351" t="s">
        <v>261</v>
      </c>
      <c r="D34" s="367" t="s">
        <v>326</v>
      </c>
      <c r="E34" s="428">
        <f>SUM('PK PNS'!E32:E33)</f>
        <v>6885</v>
      </c>
      <c r="F34" s="423">
        <v>440438</v>
      </c>
      <c r="G34" s="423">
        <f t="shared" si="0"/>
        <v>4404.38</v>
      </c>
      <c r="H34" s="423">
        <f t="shared" si="1"/>
        <v>436033.62</v>
      </c>
      <c r="I34" s="423">
        <f t="shared" ref="I34" si="29">SUM(H34*60%)</f>
        <v>261620.17199999999</v>
      </c>
      <c r="J34" s="425">
        <f>SUM('PK PNS'!I32:I33)</f>
        <v>1</v>
      </c>
      <c r="K34" s="423">
        <f t="shared" si="2"/>
        <v>261620.17199999999</v>
      </c>
      <c r="L34" s="423">
        <f t="shared" ref="L34" si="30">SUM(H34*40%)</f>
        <v>174413.448</v>
      </c>
      <c r="M34" s="423">
        <f>SUM(L34*Tabel_Perhitungan!AB34)</f>
        <v>9156.7060199999996</v>
      </c>
      <c r="N34" s="423">
        <f t="shared" si="3"/>
        <v>165256.74197999999</v>
      </c>
      <c r="O34" s="423">
        <f t="shared" si="4"/>
        <v>426876.91397999995</v>
      </c>
      <c r="P34" s="425">
        <v>0.05</v>
      </c>
      <c r="Q34" s="423">
        <f t="shared" si="5"/>
        <v>21343.845698999998</v>
      </c>
      <c r="R34" s="423">
        <f t="shared" si="6"/>
        <v>405533.06828099996</v>
      </c>
      <c r="S34" s="82">
        <v>12</v>
      </c>
      <c r="T34" s="427"/>
      <c r="U34" s="427"/>
      <c r="V34" s="172"/>
      <c r="W34" s="4"/>
    </row>
    <row r="35" spans="1:23" ht="16.5" customHeight="1" x14ac:dyDescent="0.25">
      <c r="A35" s="101"/>
      <c r="B35" s="34" t="s">
        <v>144</v>
      </c>
      <c r="C35" s="352"/>
      <c r="D35" s="368"/>
      <c r="E35" s="429"/>
      <c r="F35" s="424"/>
      <c r="G35" s="424"/>
      <c r="H35" s="424"/>
      <c r="I35" s="424"/>
      <c r="J35" s="426"/>
      <c r="K35" s="424"/>
      <c r="L35" s="424"/>
      <c r="M35" s="424"/>
      <c r="N35" s="424"/>
      <c r="O35" s="424"/>
      <c r="P35" s="426"/>
      <c r="Q35" s="424"/>
      <c r="R35" s="424"/>
      <c r="S35" s="83"/>
      <c r="T35" s="427"/>
      <c r="U35" s="427"/>
      <c r="V35" s="172"/>
      <c r="W35" s="4"/>
    </row>
    <row r="36" spans="1:23" ht="20.25" customHeight="1" x14ac:dyDescent="0.25">
      <c r="A36" s="134">
        <v>13</v>
      </c>
      <c r="B36" s="31" t="s">
        <v>147</v>
      </c>
      <c r="C36" s="351" t="s">
        <v>261</v>
      </c>
      <c r="D36" s="367" t="s">
        <v>87</v>
      </c>
      <c r="E36" s="428">
        <f>SUM('PK PNS'!E34:E35)</f>
        <v>0</v>
      </c>
      <c r="F36" s="423">
        <v>0</v>
      </c>
      <c r="G36" s="423">
        <f t="shared" si="0"/>
        <v>0</v>
      </c>
      <c r="H36" s="423">
        <f t="shared" si="1"/>
        <v>0</v>
      </c>
      <c r="I36" s="423">
        <f t="shared" ref="I36" si="31">SUM(H36*60%)</f>
        <v>0</v>
      </c>
      <c r="J36" s="425">
        <f>SUM('PK PNS'!I34:I35)</f>
        <v>0</v>
      </c>
      <c r="K36" s="423">
        <f t="shared" si="2"/>
        <v>0</v>
      </c>
      <c r="L36" s="423">
        <f t="shared" ref="L36" si="32">SUM(H36*40%)</f>
        <v>0</v>
      </c>
      <c r="M36" s="423">
        <f>SUM(L36*Tabel_Perhitungan!AB36)</f>
        <v>0</v>
      </c>
      <c r="N36" s="423">
        <f t="shared" si="3"/>
        <v>0</v>
      </c>
      <c r="O36" s="423">
        <f t="shared" si="4"/>
        <v>0</v>
      </c>
      <c r="P36" s="425">
        <v>0.05</v>
      </c>
      <c r="Q36" s="423">
        <f t="shared" si="5"/>
        <v>0</v>
      </c>
      <c r="R36" s="423">
        <f t="shared" si="6"/>
        <v>0</v>
      </c>
      <c r="S36" s="82">
        <v>13</v>
      </c>
      <c r="T36" s="427"/>
      <c r="U36" s="427"/>
      <c r="V36" s="172"/>
      <c r="W36" s="4"/>
    </row>
    <row r="37" spans="1:23" ht="17.25" customHeight="1" x14ac:dyDescent="0.25">
      <c r="A37" s="101"/>
      <c r="B37" s="34" t="s">
        <v>146</v>
      </c>
      <c r="C37" s="352"/>
      <c r="D37" s="368"/>
      <c r="E37" s="429"/>
      <c r="F37" s="424"/>
      <c r="G37" s="424"/>
      <c r="H37" s="424"/>
      <c r="I37" s="424"/>
      <c r="J37" s="426"/>
      <c r="K37" s="424"/>
      <c r="L37" s="424"/>
      <c r="M37" s="424"/>
      <c r="N37" s="424"/>
      <c r="O37" s="424"/>
      <c r="P37" s="426"/>
      <c r="Q37" s="424"/>
      <c r="R37" s="424"/>
      <c r="S37" s="83"/>
      <c r="T37" s="427"/>
      <c r="U37" s="427"/>
      <c r="V37" s="172"/>
      <c r="W37" s="4"/>
    </row>
    <row r="38" spans="1:23" ht="14.1" customHeight="1" x14ac:dyDescent="0.25">
      <c r="A38" s="134">
        <v>14</v>
      </c>
      <c r="B38" s="31" t="s">
        <v>173</v>
      </c>
      <c r="C38" s="351" t="s">
        <v>261</v>
      </c>
      <c r="D38" s="371" t="s">
        <v>464</v>
      </c>
      <c r="E38" s="428">
        <f>SUM('PK PNS'!E36:E37)</f>
        <v>7655</v>
      </c>
      <c r="F38" s="423">
        <v>620474</v>
      </c>
      <c r="G38" s="423">
        <f t="shared" si="0"/>
        <v>6204.74</v>
      </c>
      <c r="H38" s="423">
        <f t="shared" si="1"/>
        <v>614269.26</v>
      </c>
      <c r="I38" s="423">
        <f t="shared" ref="I38" si="33">SUM(H38*60%)</f>
        <v>368561.55599999998</v>
      </c>
      <c r="J38" s="425">
        <f>SUM('PK PNS'!I36:I37)</f>
        <v>1</v>
      </c>
      <c r="K38" s="423">
        <f t="shared" si="2"/>
        <v>368561.55599999998</v>
      </c>
      <c r="L38" s="423">
        <f t="shared" ref="L38" si="34">SUM(H38*40%)</f>
        <v>245707.70400000003</v>
      </c>
      <c r="M38" s="423">
        <f>SUM(L38*Tabel_Perhitungan!AB38)</f>
        <v>7371.2311200000004</v>
      </c>
      <c r="N38" s="423">
        <f t="shared" si="3"/>
        <v>238336.47288000002</v>
      </c>
      <c r="O38" s="423">
        <f t="shared" si="4"/>
        <v>606898.02888</v>
      </c>
      <c r="P38" s="425">
        <v>0.05</v>
      </c>
      <c r="Q38" s="423">
        <f t="shared" si="5"/>
        <v>30344.901444000003</v>
      </c>
      <c r="R38" s="423">
        <f t="shared" si="6"/>
        <v>576553.12743600004</v>
      </c>
      <c r="S38" s="82">
        <v>14</v>
      </c>
      <c r="T38" s="427"/>
      <c r="U38" s="427"/>
      <c r="V38" s="172"/>
      <c r="W38" s="4"/>
    </row>
    <row r="39" spans="1:23" ht="14.1" customHeight="1" x14ac:dyDescent="0.25">
      <c r="A39" s="101"/>
      <c r="B39" s="33" t="s">
        <v>172</v>
      </c>
      <c r="C39" s="352"/>
      <c r="D39" s="372"/>
      <c r="E39" s="429"/>
      <c r="F39" s="424"/>
      <c r="G39" s="424"/>
      <c r="H39" s="424"/>
      <c r="I39" s="424"/>
      <c r="J39" s="426"/>
      <c r="K39" s="424"/>
      <c r="L39" s="424"/>
      <c r="M39" s="424"/>
      <c r="N39" s="424"/>
      <c r="O39" s="424"/>
      <c r="P39" s="426"/>
      <c r="Q39" s="424"/>
      <c r="R39" s="424"/>
      <c r="S39" s="83"/>
      <c r="T39" s="427"/>
      <c r="U39" s="427"/>
      <c r="V39" s="172"/>
      <c r="W39" s="4"/>
    </row>
    <row r="40" spans="1:23" ht="14.1" customHeight="1" x14ac:dyDescent="0.25">
      <c r="A40" s="134">
        <v>15</v>
      </c>
      <c r="B40" s="31" t="s">
        <v>48</v>
      </c>
      <c r="C40" s="351" t="s">
        <v>261</v>
      </c>
      <c r="D40" s="351" t="s">
        <v>279</v>
      </c>
      <c r="E40" s="428">
        <f>SUM('PK PNS'!E38:E39)</f>
        <v>7020</v>
      </c>
      <c r="F40" s="423">
        <v>440438</v>
      </c>
      <c r="G40" s="423">
        <f t="shared" si="0"/>
        <v>4404.38</v>
      </c>
      <c r="H40" s="423">
        <f t="shared" si="1"/>
        <v>436033.62</v>
      </c>
      <c r="I40" s="423">
        <f t="shared" ref="I40" si="35">SUM(H40*60%)</f>
        <v>261620.17199999999</v>
      </c>
      <c r="J40" s="425">
        <f>SUM('PK PNS'!I38:I39)</f>
        <v>1</v>
      </c>
      <c r="K40" s="423">
        <f t="shared" si="2"/>
        <v>261620.17199999999</v>
      </c>
      <c r="L40" s="423">
        <f t="shared" ref="L40" si="36">SUM(H40*40%)</f>
        <v>174413.448</v>
      </c>
      <c r="M40" s="423">
        <f>SUM(L40*Tabel_Perhitungan!AB40)</f>
        <v>17877.378420000001</v>
      </c>
      <c r="N40" s="423">
        <f t="shared" si="3"/>
        <v>156536.06958000001</v>
      </c>
      <c r="O40" s="423">
        <f t="shared" si="4"/>
        <v>418156.24158000003</v>
      </c>
      <c r="P40" s="425">
        <v>0.05</v>
      </c>
      <c r="Q40" s="423">
        <f t="shared" si="5"/>
        <v>20907.812079000003</v>
      </c>
      <c r="R40" s="423">
        <f t="shared" si="6"/>
        <v>397248.42950100004</v>
      </c>
      <c r="S40" s="82">
        <v>15</v>
      </c>
      <c r="T40" s="427"/>
      <c r="U40" s="427"/>
      <c r="V40" s="172"/>
      <c r="W40" s="4"/>
    </row>
    <row r="41" spans="1:23" ht="14.1" customHeight="1" x14ac:dyDescent="0.25">
      <c r="A41" s="101"/>
      <c r="B41" s="34" t="s">
        <v>148</v>
      </c>
      <c r="C41" s="352"/>
      <c r="D41" s="352"/>
      <c r="E41" s="429"/>
      <c r="F41" s="424"/>
      <c r="G41" s="424"/>
      <c r="H41" s="424"/>
      <c r="I41" s="424"/>
      <c r="J41" s="426"/>
      <c r="K41" s="424"/>
      <c r="L41" s="424"/>
      <c r="M41" s="424"/>
      <c r="N41" s="424"/>
      <c r="O41" s="424"/>
      <c r="P41" s="426"/>
      <c r="Q41" s="424"/>
      <c r="R41" s="424"/>
      <c r="S41" s="83"/>
      <c r="T41" s="427"/>
      <c r="U41" s="427"/>
      <c r="V41" s="172"/>
      <c r="W41" s="4"/>
    </row>
    <row r="42" spans="1:23" ht="14.1" customHeight="1" x14ac:dyDescent="0.25">
      <c r="A42" s="134">
        <v>16</v>
      </c>
      <c r="B42" s="31" t="s">
        <v>168</v>
      </c>
      <c r="C42" s="351" t="s">
        <v>261</v>
      </c>
      <c r="D42" s="351" t="s">
        <v>280</v>
      </c>
      <c r="E42" s="428">
        <f>SUM('PK PNS'!E40:E41)</f>
        <v>6820</v>
      </c>
      <c r="F42" s="423">
        <v>440438</v>
      </c>
      <c r="G42" s="423">
        <f t="shared" si="0"/>
        <v>4404.38</v>
      </c>
      <c r="H42" s="423">
        <f t="shared" si="1"/>
        <v>436033.62</v>
      </c>
      <c r="I42" s="423">
        <f t="shared" ref="I42" si="37">SUM(H42*60%)</f>
        <v>261620.17199999999</v>
      </c>
      <c r="J42" s="425">
        <f>SUM('PK PNS'!I40:I41)</f>
        <v>1</v>
      </c>
      <c r="K42" s="423">
        <f t="shared" si="2"/>
        <v>261620.17199999999</v>
      </c>
      <c r="L42" s="423">
        <f t="shared" ref="L42" si="38">SUM(H42*40%)</f>
        <v>174413.448</v>
      </c>
      <c r="M42" s="423">
        <f>SUM(L42*Tabel_Perhitungan!AB42)</f>
        <v>8720.6724000000013</v>
      </c>
      <c r="N42" s="423">
        <f t="shared" si="3"/>
        <v>165692.77559999999</v>
      </c>
      <c r="O42" s="423">
        <f t="shared" si="4"/>
        <v>427312.94759999996</v>
      </c>
      <c r="P42" s="425">
        <v>0.05</v>
      </c>
      <c r="Q42" s="423">
        <f t="shared" si="5"/>
        <v>21365.647379999999</v>
      </c>
      <c r="R42" s="423">
        <f t="shared" si="6"/>
        <v>405947.30021999998</v>
      </c>
      <c r="S42" s="82">
        <v>16</v>
      </c>
      <c r="T42" s="427"/>
      <c r="U42" s="427"/>
      <c r="V42" s="172"/>
      <c r="W42" s="4"/>
    </row>
    <row r="43" spans="1:23" ht="14.1" customHeight="1" x14ac:dyDescent="0.25">
      <c r="A43" s="101"/>
      <c r="B43" s="34" t="s">
        <v>160</v>
      </c>
      <c r="C43" s="352"/>
      <c r="D43" s="352"/>
      <c r="E43" s="429"/>
      <c r="F43" s="424"/>
      <c r="G43" s="424"/>
      <c r="H43" s="424"/>
      <c r="I43" s="424"/>
      <c r="J43" s="426"/>
      <c r="K43" s="424"/>
      <c r="L43" s="424"/>
      <c r="M43" s="424"/>
      <c r="N43" s="424"/>
      <c r="O43" s="424"/>
      <c r="P43" s="426"/>
      <c r="Q43" s="424"/>
      <c r="R43" s="424"/>
      <c r="S43" s="83"/>
      <c r="T43" s="427"/>
      <c r="U43" s="427"/>
      <c r="V43" s="172"/>
      <c r="W43" s="4"/>
    </row>
    <row r="44" spans="1:23" ht="14.1" customHeight="1" x14ac:dyDescent="0.25">
      <c r="A44" s="134">
        <v>17</v>
      </c>
      <c r="B44" s="31" t="s">
        <v>169</v>
      </c>
      <c r="C44" s="351" t="s">
        <v>260</v>
      </c>
      <c r="D44" s="351" t="s">
        <v>281</v>
      </c>
      <c r="E44" s="428">
        <f>SUM('PK PNS'!E42:E43)</f>
        <v>6770</v>
      </c>
      <c r="F44" s="423">
        <v>382735</v>
      </c>
      <c r="G44" s="423">
        <f t="shared" si="0"/>
        <v>3827.35</v>
      </c>
      <c r="H44" s="423">
        <f t="shared" si="1"/>
        <v>378907.65</v>
      </c>
      <c r="I44" s="423">
        <f t="shared" ref="I44" si="39">SUM(H44*60%)</f>
        <v>227344.59</v>
      </c>
      <c r="J44" s="425">
        <f>SUM('PK PNS'!I42:I43)</f>
        <v>1</v>
      </c>
      <c r="K44" s="423">
        <f t="shared" si="2"/>
        <v>227344.59</v>
      </c>
      <c r="L44" s="423">
        <f t="shared" ref="L44" si="40">SUM(H44*40%)</f>
        <v>151563.06000000003</v>
      </c>
      <c r="M44" s="423">
        <f>SUM(L44*Tabel_Perhitungan!AB44)</f>
        <v>6820.337700000001</v>
      </c>
      <c r="N44" s="423">
        <f t="shared" si="3"/>
        <v>144742.72230000002</v>
      </c>
      <c r="O44" s="423">
        <f t="shared" si="4"/>
        <v>372087.31229999999</v>
      </c>
      <c r="P44" s="425">
        <v>0.05</v>
      </c>
      <c r="Q44" s="423">
        <f t="shared" si="5"/>
        <v>18604.365614999999</v>
      </c>
      <c r="R44" s="423">
        <f t="shared" si="6"/>
        <v>353482.94668499997</v>
      </c>
      <c r="S44" s="82">
        <v>17</v>
      </c>
      <c r="T44" s="427"/>
      <c r="U44" s="427"/>
      <c r="V44" s="172"/>
      <c r="W44" s="4"/>
    </row>
    <row r="45" spans="1:23" ht="14.1" customHeight="1" x14ac:dyDescent="0.25">
      <c r="A45" s="101"/>
      <c r="B45" s="33" t="s">
        <v>161</v>
      </c>
      <c r="C45" s="352"/>
      <c r="D45" s="352"/>
      <c r="E45" s="429"/>
      <c r="F45" s="424"/>
      <c r="G45" s="424"/>
      <c r="H45" s="424"/>
      <c r="I45" s="424"/>
      <c r="J45" s="426"/>
      <c r="K45" s="424"/>
      <c r="L45" s="424"/>
      <c r="M45" s="424"/>
      <c r="N45" s="424"/>
      <c r="O45" s="424"/>
      <c r="P45" s="426"/>
      <c r="Q45" s="424"/>
      <c r="R45" s="424"/>
      <c r="S45" s="83"/>
      <c r="T45" s="427"/>
      <c r="U45" s="427"/>
      <c r="V45" s="172"/>
      <c r="W45" s="4"/>
    </row>
    <row r="46" spans="1:23" ht="18" customHeight="1" x14ac:dyDescent="0.25">
      <c r="A46" s="134">
        <v>18</v>
      </c>
      <c r="B46" s="31" t="s">
        <v>53</v>
      </c>
      <c r="C46" s="351" t="s">
        <v>260</v>
      </c>
      <c r="D46" s="351" t="s">
        <v>462</v>
      </c>
      <c r="E46" s="428">
        <f>SUM('PK PNS'!E44:E45)</f>
        <v>7100</v>
      </c>
      <c r="F46" s="423">
        <v>499535</v>
      </c>
      <c r="G46" s="423">
        <f t="shared" si="0"/>
        <v>4995.3500000000004</v>
      </c>
      <c r="H46" s="423">
        <f t="shared" si="1"/>
        <v>494539.65</v>
      </c>
      <c r="I46" s="423">
        <f t="shared" ref="I46" si="41">SUM(H46*60%)</f>
        <v>296723.78999999998</v>
      </c>
      <c r="J46" s="425">
        <f>SUM('PK PNS'!I44:I45)</f>
        <v>1</v>
      </c>
      <c r="K46" s="423">
        <f t="shared" si="2"/>
        <v>296723.78999999998</v>
      </c>
      <c r="L46" s="423">
        <f t="shared" ref="L46" si="42">SUM(H46*40%)</f>
        <v>197815.86000000002</v>
      </c>
      <c r="M46" s="423">
        <f>SUM(L46*Tabel_Perhitungan!AB46)</f>
        <v>11868.9516</v>
      </c>
      <c r="N46" s="423">
        <f t="shared" si="3"/>
        <v>185946.90840000001</v>
      </c>
      <c r="O46" s="423">
        <f t="shared" si="4"/>
        <v>482670.69839999999</v>
      </c>
      <c r="P46" s="425">
        <v>0.05</v>
      </c>
      <c r="Q46" s="423">
        <f t="shared" si="5"/>
        <v>24133.534920000002</v>
      </c>
      <c r="R46" s="423">
        <f t="shared" si="6"/>
        <v>458537.16347999999</v>
      </c>
      <c r="S46" s="82">
        <v>18</v>
      </c>
      <c r="T46" s="427"/>
      <c r="U46" s="427"/>
      <c r="V46" s="172"/>
      <c r="W46" s="4"/>
    </row>
    <row r="47" spans="1:23" ht="14.1" customHeight="1" x14ac:dyDescent="0.25">
      <c r="A47" s="101"/>
      <c r="B47" s="33" t="s">
        <v>162</v>
      </c>
      <c r="C47" s="352"/>
      <c r="D47" s="352"/>
      <c r="E47" s="429"/>
      <c r="F47" s="424"/>
      <c r="G47" s="424"/>
      <c r="H47" s="424"/>
      <c r="I47" s="424"/>
      <c r="J47" s="426"/>
      <c r="K47" s="424"/>
      <c r="L47" s="424"/>
      <c r="M47" s="424"/>
      <c r="N47" s="424"/>
      <c r="O47" s="424"/>
      <c r="P47" s="426"/>
      <c r="Q47" s="424"/>
      <c r="R47" s="424"/>
      <c r="S47" s="83"/>
      <c r="T47" s="427"/>
      <c r="U47" s="427"/>
      <c r="V47" s="172"/>
      <c r="W47" s="4"/>
    </row>
    <row r="48" spans="1:23" ht="14.25" customHeight="1" x14ac:dyDescent="0.25">
      <c r="A48" s="134">
        <v>19</v>
      </c>
      <c r="B48" s="31" t="s">
        <v>55</v>
      </c>
      <c r="C48" s="351" t="s">
        <v>260</v>
      </c>
      <c r="D48" s="351" t="s">
        <v>332</v>
      </c>
      <c r="E48" s="428">
        <f>SUM('PK PNS'!E46:E47)</f>
        <v>7565</v>
      </c>
      <c r="F48" s="423">
        <v>319202</v>
      </c>
      <c r="G48" s="423">
        <f t="shared" si="0"/>
        <v>3192.02</v>
      </c>
      <c r="H48" s="423">
        <f t="shared" si="1"/>
        <v>316009.98</v>
      </c>
      <c r="I48" s="423">
        <f t="shared" ref="I48" si="43">SUM(H48*60%)</f>
        <v>189605.98799999998</v>
      </c>
      <c r="J48" s="425">
        <f>SUM('PK PNS'!I46:I47)</f>
        <v>1</v>
      </c>
      <c r="K48" s="423">
        <f t="shared" si="2"/>
        <v>189605.98799999998</v>
      </c>
      <c r="L48" s="423">
        <f t="shared" ref="L48" si="44">SUM(H48*40%)</f>
        <v>126403.992</v>
      </c>
      <c r="M48" s="423">
        <f>SUM(L48*Tabel_Perhitungan!AB48)</f>
        <v>16432.518960000001</v>
      </c>
      <c r="N48" s="423">
        <f t="shared" si="3"/>
        <v>109971.47304</v>
      </c>
      <c r="O48" s="423">
        <f t="shared" si="4"/>
        <v>299577.46103999997</v>
      </c>
      <c r="P48" s="425">
        <v>0.05</v>
      </c>
      <c r="Q48" s="423">
        <f t="shared" si="5"/>
        <v>14978.873051999999</v>
      </c>
      <c r="R48" s="423">
        <f t="shared" si="6"/>
        <v>284598.58798799996</v>
      </c>
      <c r="S48" s="82">
        <v>19</v>
      </c>
      <c r="T48" s="427"/>
      <c r="U48" s="427"/>
      <c r="V48" s="172"/>
      <c r="W48" s="4"/>
    </row>
    <row r="49" spans="1:23" ht="16.5" customHeight="1" x14ac:dyDescent="0.25">
      <c r="A49" s="101"/>
      <c r="B49" s="45" t="s">
        <v>171</v>
      </c>
      <c r="C49" s="352"/>
      <c r="D49" s="352"/>
      <c r="E49" s="429"/>
      <c r="F49" s="424"/>
      <c r="G49" s="424"/>
      <c r="H49" s="424"/>
      <c r="I49" s="424"/>
      <c r="J49" s="426"/>
      <c r="K49" s="424"/>
      <c r="L49" s="424"/>
      <c r="M49" s="424"/>
      <c r="N49" s="424"/>
      <c r="O49" s="424"/>
      <c r="P49" s="426"/>
      <c r="Q49" s="424"/>
      <c r="R49" s="424"/>
      <c r="S49" s="83"/>
      <c r="T49" s="427"/>
      <c r="U49" s="427"/>
      <c r="V49" s="172"/>
      <c r="W49" s="4"/>
    </row>
    <row r="50" spans="1:23" ht="14.1" customHeight="1" x14ac:dyDescent="0.25">
      <c r="A50" s="134">
        <v>20</v>
      </c>
      <c r="B50" s="31" t="s">
        <v>60</v>
      </c>
      <c r="C50" s="351" t="s">
        <v>260</v>
      </c>
      <c r="D50" s="351" t="s">
        <v>282</v>
      </c>
      <c r="E50" s="428">
        <f>SUM('PK PNS'!E48:E49)</f>
        <v>7920</v>
      </c>
      <c r="F50" s="423">
        <v>440438</v>
      </c>
      <c r="G50" s="423">
        <f t="shared" si="0"/>
        <v>4404.38</v>
      </c>
      <c r="H50" s="423">
        <f t="shared" si="1"/>
        <v>436033.62</v>
      </c>
      <c r="I50" s="423">
        <f t="shared" ref="I50" si="45">SUM(H50*60%)</f>
        <v>261620.17199999999</v>
      </c>
      <c r="J50" s="425">
        <f>SUM('PK PNS'!I48:I49)</f>
        <v>1</v>
      </c>
      <c r="K50" s="423">
        <f t="shared" si="2"/>
        <v>261620.17199999999</v>
      </c>
      <c r="L50" s="423">
        <f t="shared" ref="L50" si="46">SUM(H50*40%)</f>
        <v>174413.448</v>
      </c>
      <c r="M50" s="423">
        <f>SUM(L50*Tabel_Perhitungan!AB50)</f>
        <v>0</v>
      </c>
      <c r="N50" s="423">
        <f t="shared" si="3"/>
        <v>174413.448</v>
      </c>
      <c r="O50" s="423">
        <f t="shared" si="4"/>
        <v>436033.62</v>
      </c>
      <c r="P50" s="425">
        <v>0.05</v>
      </c>
      <c r="Q50" s="423">
        <f t="shared" si="5"/>
        <v>21801.681</v>
      </c>
      <c r="R50" s="423">
        <f t="shared" si="6"/>
        <v>414231.93900000001</v>
      </c>
      <c r="S50" s="82">
        <v>20</v>
      </c>
      <c r="T50" s="427"/>
      <c r="U50" s="427"/>
      <c r="V50" s="172"/>
      <c r="W50" s="4"/>
    </row>
    <row r="51" spans="1:23" ht="14.1" customHeight="1" x14ac:dyDescent="0.25">
      <c r="A51" s="101"/>
      <c r="B51" s="34" t="s">
        <v>177</v>
      </c>
      <c r="C51" s="352"/>
      <c r="D51" s="352"/>
      <c r="E51" s="429"/>
      <c r="F51" s="424"/>
      <c r="G51" s="424"/>
      <c r="H51" s="424"/>
      <c r="I51" s="424"/>
      <c r="J51" s="426"/>
      <c r="K51" s="424"/>
      <c r="L51" s="424"/>
      <c r="M51" s="424"/>
      <c r="N51" s="424"/>
      <c r="O51" s="424"/>
      <c r="P51" s="426"/>
      <c r="Q51" s="424"/>
      <c r="R51" s="424"/>
      <c r="S51" s="83"/>
      <c r="T51" s="427"/>
      <c r="U51" s="427"/>
      <c r="V51" s="172"/>
      <c r="W51" s="4"/>
    </row>
    <row r="52" spans="1:23" ht="14.1" customHeight="1" x14ac:dyDescent="0.25">
      <c r="A52" s="134">
        <v>21</v>
      </c>
      <c r="B52" s="31" t="s">
        <v>57</v>
      </c>
      <c r="C52" s="351" t="s">
        <v>261</v>
      </c>
      <c r="D52" s="351" t="s">
        <v>178</v>
      </c>
      <c r="E52" s="428">
        <f>SUM('PK PNS'!E50:E51)</f>
        <v>6870</v>
      </c>
      <c r="F52" s="423">
        <v>382735</v>
      </c>
      <c r="G52" s="423">
        <f t="shared" si="0"/>
        <v>3827.35</v>
      </c>
      <c r="H52" s="423">
        <f t="shared" si="1"/>
        <v>378907.65</v>
      </c>
      <c r="I52" s="423">
        <f t="shared" ref="I52" si="47">SUM(H52*60%)</f>
        <v>227344.59</v>
      </c>
      <c r="J52" s="425">
        <f>SUM('PK PNS'!I50:I51)</f>
        <v>1</v>
      </c>
      <c r="K52" s="423">
        <f t="shared" si="2"/>
        <v>227344.59</v>
      </c>
      <c r="L52" s="423">
        <f t="shared" ref="L52" si="48">SUM(H52*40%)</f>
        <v>151563.06000000003</v>
      </c>
      <c r="M52" s="423">
        <f>SUM(L52*Tabel_Perhitungan!AB52)</f>
        <v>0</v>
      </c>
      <c r="N52" s="423">
        <f t="shared" si="3"/>
        <v>151563.06000000003</v>
      </c>
      <c r="O52" s="423">
        <f t="shared" si="4"/>
        <v>378907.65</v>
      </c>
      <c r="P52" s="425">
        <v>0.05</v>
      </c>
      <c r="Q52" s="423">
        <f t="shared" si="5"/>
        <v>18945.382500000003</v>
      </c>
      <c r="R52" s="423">
        <f t="shared" si="6"/>
        <v>359962.26750000002</v>
      </c>
      <c r="S52" s="82">
        <v>21</v>
      </c>
      <c r="T52" s="427"/>
      <c r="U52" s="427"/>
      <c r="V52" s="172"/>
      <c r="W52" s="4"/>
    </row>
    <row r="53" spans="1:23" ht="14.1" customHeight="1" x14ac:dyDescent="0.25">
      <c r="A53" s="101"/>
      <c r="B53" s="47" t="s">
        <v>176</v>
      </c>
      <c r="C53" s="352"/>
      <c r="D53" s="352"/>
      <c r="E53" s="429"/>
      <c r="F53" s="424"/>
      <c r="G53" s="424"/>
      <c r="H53" s="424"/>
      <c r="I53" s="424"/>
      <c r="J53" s="426"/>
      <c r="K53" s="424"/>
      <c r="L53" s="424"/>
      <c r="M53" s="424"/>
      <c r="N53" s="424"/>
      <c r="O53" s="424"/>
      <c r="P53" s="426"/>
      <c r="Q53" s="424"/>
      <c r="R53" s="424"/>
      <c r="S53" s="83"/>
      <c r="T53" s="427"/>
      <c r="U53" s="427"/>
      <c r="V53" s="172"/>
      <c r="W53" s="172"/>
    </row>
    <row r="54" spans="1:23" ht="14.1" customHeight="1" x14ac:dyDescent="0.25">
      <c r="A54" s="134">
        <v>22</v>
      </c>
      <c r="B54" s="31" t="s">
        <v>62</v>
      </c>
      <c r="C54" s="351" t="s">
        <v>260</v>
      </c>
      <c r="D54" s="351" t="s">
        <v>283</v>
      </c>
      <c r="E54" s="428">
        <f>SUM('PK PNS'!E52:E53)</f>
        <v>7421</v>
      </c>
      <c r="F54" s="423">
        <v>382735</v>
      </c>
      <c r="G54" s="423">
        <f t="shared" si="0"/>
        <v>3827.35</v>
      </c>
      <c r="H54" s="423">
        <f t="shared" si="1"/>
        <v>378907.65</v>
      </c>
      <c r="I54" s="423">
        <f t="shared" ref="I54" si="49">SUM(H54*60%)</f>
        <v>227344.59</v>
      </c>
      <c r="J54" s="425">
        <f>SUM('PK PNS'!I52:I53)</f>
        <v>1</v>
      </c>
      <c r="K54" s="423">
        <f t="shared" si="2"/>
        <v>227344.59</v>
      </c>
      <c r="L54" s="423">
        <f t="shared" ref="L54" si="50">SUM(H54*40%)</f>
        <v>151563.06000000003</v>
      </c>
      <c r="M54" s="423">
        <f>SUM(L54*Tabel_Perhitungan!AB54)</f>
        <v>4546.8918000000003</v>
      </c>
      <c r="N54" s="423">
        <f t="shared" si="3"/>
        <v>147016.16820000001</v>
      </c>
      <c r="O54" s="423">
        <f t="shared" si="4"/>
        <v>374360.75820000004</v>
      </c>
      <c r="P54" s="425">
        <v>0.05</v>
      </c>
      <c r="Q54" s="423">
        <f t="shared" si="5"/>
        <v>18718.037910000003</v>
      </c>
      <c r="R54" s="423">
        <f t="shared" si="6"/>
        <v>355642.72029000003</v>
      </c>
      <c r="S54" s="82">
        <v>22</v>
      </c>
      <c r="T54" s="427"/>
      <c r="U54" s="427"/>
      <c r="V54" s="172"/>
      <c r="W54" s="172"/>
    </row>
    <row r="55" spans="1:23" ht="14.1" customHeight="1" x14ac:dyDescent="0.25">
      <c r="A55" s="101"/>
      <c r="B55" s="33" t="s">
        <v>149</v>
      </c>
      <c r="C55" s="352"/>
      <c r="D55" s="352"/>
      <c r="E55" s="429"/>
      <c r="F55" s="424"/>
      <c r="G55" s="424"/>
      <c r="H55" s="424"/>
      <c r="I55" s="424"/>
      <c r="J55" s="426"/>
      <c r="K55" s="424"/>
      <c r="L55" s="424"/>
      <c r="M55" s="424"/>
      <c r="N55" s="424"/>
      <c r="O55" s="424"/>
      <c r="P55" s="426"/>
      <c r="Q55" s="424"/>
      <c r="R55" s="424"/>
      <c r="S55" s="83"/>
      <c r="T55" s="427"/>
      <c r="U55" s="427"/>
      <c r="V55" s="172"/>
      <c r="W55" s="172"/>
    </row>
    <row r="56" spans="1:23" ht="14.1" customHeight="1" x14ac:dyDescent="0.25">
      <c r="A56" s="134">
        <v>23</v>
      </c>
      <c r="B56" s="31" t="s">
        <v>64</v>
      </c>
      <c r="C56" s="351" t="s">
        <v>263</v>
      </c>
      <c r="D56" s="351" t="s">
        <v>284</v>
      </c>
      <c r="E56" s="428">
        <f>SUM('PK PNS'!E54:E55)</f>
        <v>6840</v>
      </c>
      <c r="F56" s="423">
        <v>382735</v>
      </c>
      <c r="G56" s="423">
        <f t="shared" si="0"/>
        <v>3827.35</v>
      </c>
      <c r="H56" s="423">
        <f t="shared" si="1"/>
        <v>378907.65</v>
      </c>
      <c r="I56" s="423">
        <f t="shared" ref="I56" si="51">SUM(H56*60%)</f>
        <v>227344.59</v>
      </c>
      <c r="J56" s="425">
        <f>SUM('PK PNS'!I54:I55)</f>
        <v>1</v>
      </c>
      <c r="K56" s="423">
        <f t="shared" si="2"/>
        <v>227344.59</v>
      </c>
      <c r="L56" s="423">
        <f t="shared" ref="L56" si="52">SUM(H56*40%)</f>
        <v>151563.06000000003</v>
      </c>
      <c r="M56" s="423">
        <f>SUM(L56*Tabel_Perhitungan!AB56)</f>
        <v>9093.7836000000007</v>
      </c>
      <c r="N56" s="423">
        <f t="shared" si="3"/>
        <v>142469.27640000003</v>
      </c>
      <c r="O56" s="423">
        <f t="shared" si="4"/>
        <v>369813.86640000006</v>
      </c>
      <c r="P56" s="425">
        <v>0.05</v>
      </c>
      <c r="Q56" s="423">
        <f t="shared" si="5"/>
        <v>18490.693320000002</v>
      </c>
      <c r="R56" s="423">
        <f t="shared" si="6"/>
        <v>351323.17308000004</v>
      </c>
      <c r="S56" s="82">
        <v>23</v>
      </c>
      <c r="T56" s="427"/>
      <c r="U56" s="427"/>
      <c r="V56" s="172"/>
      <c r="W56" s="4"/>
    </row>
    <row r="57" spans="1:23" ht="14.1" customHeight="1" x14ac:dyDescent="0.25">
      <c r="A57" s="101"/>
      <c r="B57" s="34" t="s">
        <v>167</v>
      </c>
      <c r="C57" s="352"/>
      <c r="D57" s="352"/>
      <c r="E57" s="429"/>
      <c r="F57" s="424"/>
      <c r="G57" s="424"/>
      <c r="H57" s="424"/>
      <c r="I57" s="424"/>
      <c r="J57" s="426"/>
      <c r="K57" s="424"/>
      <c r="L57" s="424"/>
      <c r="M57" s="424"/>
      <c r="N57" s="424"/>
      <c r="O57" s="424"/>
      <c r="P57" s="426"/>
      <c r="Q57" s="424"/>
      <c r="R57" s="424"/>
      <c r="S57" s="83"/>
      <c r="T57" s="427"/>
      <c r="U57" s="427"/>
      <c r="V57" s="172"/>
      <c r="W57" s="4"/>
    </row>
    <row r="58" spans="1:23" ht="14.1" customHeight="1" x14ac:dyDescent="0.25">
      <c r="A58" s="134">
        <v>24</v>
      </c>
      <c r="B58" s="31" t="s">
        <v>66</v>
      </c>
      <c r="C58" s="351" t="s">
        <v>262</v>
      </c>
      <c r="D58" s="351" t="s">
        <v>285</v>
      </c>
      <c r="E58" s="428">
        <f>SUM('PK PNS'!E56:E57)</f>
        <v>6780</v>
      </c>
      <c r="F58" s="423">
        <v>440438</v>
      </c>
      <c r="G58" s="423">
        <f t="shared" si="0"/>
        <v>4404.38</v>
      </c>
      <c r="H58" s="423">
        <f t="shared" si="1"/>
        <v>436033.62</v>
      </c>
      <c r="I58" s="423">
        <f t="shared" ref="I58" si="53">SUM(H58*60%)</f>
        <v>261620.17199999999</v>
      </c>
      <c r="J58" s="425">
        <f>SUM('PK PNS'!I56:I57)</f>
        <v>1</v>
      </c>
      <c r="K58" s="423">
        <f t="shared" si="2"/>
        <v>261620.17199999999</v>
      </c>
      <c r="L58" s="423">
        <f t="shared" ref="L58" si="54">SUM(H58*40%)</f>
        <v>174413.448</v>
      </c>
      <c r="M58" s="423">
        <f>SUM(L58*Tabel_Perhitungan!AB58)</f>
        <v>0</v>
      </c>
      <c r="N58" s="423">
        <f t="shared" si="3"/>
        <v>174413.448</v>
      </c>
      <c r="O58" s="423">
        <f t="shared" si="4"/>
        <v>436033.62</v>
      </c>
      <c r="P58" s="425">
        <v>0.05</v>
      </c>
      <c r="Q58" s="423">
        <f t="shared" si="5"/>
        <v>21801.681</v>
      </c>
      <c r="R58" s="423">
        <f t="shared" si="6"/>
        <v>414231.93900000001</v>
      </c>
      <c r="S58" s="82">
        <v>24</v>
      </c>
      <c r="T58" s="427"/>
      <c r="U58" s="427"/>
      <c r="V58" s="172"/>
      <c r="W58" s="4"/>
    </row>
    <row r="59" spans="1:23" ht="14.1" customHeight="1" x14ac:dyDescent="0.25">
      <c r="A59" s="101"/>
      <c r="B59" s="33" t="s">
        <v>166</v>
      </c>
      <c r="C59" s="352"/>
      <c r="D59" s="352"/>
      <c r="E59" s="429"/>
      <c r="F59" s="424"/>
      <c r="G59" s="424"/>
      <c r="H59" s="424"/>
      <c r="I59" s="424"/>
      <c r="J59" s="426"/>
      <c r="K59" s="424"/>
      <c r="L59" s="424"/>
      <c r="M59" s="424"/>
      <c r="N59" s="424"/>
      <c r="O59" s="424"/>
      <c r="P59" s="426"/>
      <c r="Q59" s="424"/>
      <c r="R59" s="424"/>
      <c r="S59" s="83"/>
      <c r="T59" s="427"/>
      <c r="U59" s="427"/>
      <c r="V59" s="172"/>
      <c r="W59" s="4"/>
    </row>
    <row r="60" spans="1:23" ht="14.1" customHeight="1" x14ac:dyDescent="0.25">
      <c r="A60" s="134">
        <v>25</v>
      </c>
      <c r="B60" s="31" t="s">
        <v>68</v>
      </c>
      <c r="C60" s="351" t="s">
        <v>260</v>
      </c>
      <c r="D60" s="371" t="s">
        <v>464</v>
      </c>
      <c r="E60" s="428">
        <f>SUM('PK PNS'!E58:E59)</f>
        <v>6775</v>
      </c>
      <c r="F60" s="423">
        <v>620474</v>
      </c>
      <c r="G60" s="423">
        <f t="shared" si="0"/>
        <v>6204.74</v>
      </c>
      <c r="H60" s="423">
        <f t="shared" si="1"/>
        <v>614269.26</v>
      </c>
      <c r="I60" s="423">
        <f t="shared" ref="I60" si="55">SUM(H60*60%)</f>
        <v>368561.55599999998</v>
      </c>
      <c r="J60" s="425">
        <f>SUM('PK PNS'!I58:I59)</f>
        <v>1</v>
      </c>
      <c r="K60" s="423">
        <f t="shared" si="2"/>
        <v>368561.55599999998</v>
      </c>
      <c r="L60" s="423">
        <f t="shared" ref="L60" si="56">SUM(H60*40%)</f>
        <v>245707.70400000003</v>
      </c>
      <c r="M60" s="423">
        <f>SUM(L60*Tabel_Perhitungan!AB60)</f>
        <v>0</v>
      </c>
      <c r="N60" s="423">
        <f t="shared" si="3"/>
        <v>245707.70400000003</v>
      </c>
      <c r="O60" s="423">
        <f t="shared" si="4"/>
        <v>614269.26</v>
      </c>
      <c r="P60" s="425">
        <v>0.05</v>
      </c>
      <c r="Q60" s="423">
        <f t="shared" si="5"/>
        <v>30713.463000000003</v>
      </c>
      <c r="R60" s="423">
        <f t="shared" si="6"/>
        <v>583555.79700000002</v>
      </c>
      <c r="S60" s="82">
        <v>25</v>
      </c>
      <c r="T60" s="427"/>
      <c r="U60" s="427"/>
      <c r="V60" s="172"/>
      <c r="W60" s="4"/>
    </row>
    <row r="61" spans="1:23" ht="14.1" customHeight="1" x14ac:dyDescent="0.25">
      <c r="A61" s="101"/>
      <c r="B61" s="33" t="s">
        <v>165</v>
      </c>
      <c r="C61" s="352"/>
      <c r="D61" s="372"/>
      <c r="E61" s="429"/>
      <c r="F61" s="424"/>
      <c r="G61" s="424"/>
      <c r="H61" s="424"/>
      <c r="I61" s="424"/>
      <c r="J61" s="426"/>
      <c r="K61" s="424"/>
      <c r="L61" s="424"/>
      <c r="M61" s="424"/>
      <c r="N61" s="424"/>
      <c r="O61" s="424"/>
      <c r="P61" s="426"/>
      <c r="Q61" s="424"/>
      <c r="R61" s="424"/>
      <c r="S61" s="83"/>
      <c r="T61" s="427"/>
      <c r="U61" s="427"/>
      <c r="V61" s="172"/>
      <c r="W61" s="4"/>
    </row>
    <row r="62" spans="1:23" ht="14.1" customHeight="1" x14ac:dyDescent="0.25">
      <c r="A62" s="134">
        <v>26</v>
      </c>
      <c r="B62" s="31" t="s">
        <v>70</v>
      </c>
      <c r="C62" s="351" t="s">
        <v>260</v>
      </c>
      <c r="D62" s="371" t="s">
        <v>464</v>
      </c>
      <c r="E62" s="428">
        <f>SUM('PK PNS'!E60:E61)</f>
        <v>7200</v>
      </c>
      <c r="F62" s="423">
        <v>620474</v>
      </c>
      <c r="G62" s="423">
        <f t="shared" si="0"/>
        <v>6204.74</v>
      </c>
      <c r="H62" s="423">
        <f t="shared" si="1"/>
        <v>614269.26</v>
      </c>
      <c r="I62" s="423">
        <f t="shared" ref="I62" si="57">SUM(H62*60%)</f>
        <v>368561.55599999998</v>
      </c>
      <c r="J62" s="425">
        <f>SUM('PK PNS'!I60:I61)</f>
        <v>1</v>
      </c>
      <c r="K62" s="423">
        <f t="shared" si="2"/>
        <v>368561.55599999998</v>
      </c>
      <c r="L62" s="423">
        <f t="shared" ref="L62" si="58">SUM(H62*40%)</f>
        <v>245707.70400000003</v>
      </c>
      <c r="M62" s="423">
        <f>SUM(L62*Tabel_Perhitungan!AB62)</f>
        <v>29484.924480000001</v>
      </c>
      <c r="N62" s="423">
        <f t="shared" si="3"/>
        <v>216222.77952000004</v>
      </c>
      <c r="O62" s="423">
        <f t="shared" si="4"/>
        <v>584784.33551999996</v>
      </c>
      <c r="P62" s="425">
        <v>0.05</v>
      </c>
      <c r="Q62" s="423">
        <f t="shared" si="5"/>
        <v>29239.216776000001</v>
      </c>
      <c r="R62" s="423">
        <f t="shared" si="6"/>
        <v>555545.11874399998</v>
      </c>
      <c r="S62" s="82">
        <v>26</v>
      </c>
      <c r="T62" s="427"/>
      <c r="U62" s="427"/>
      <c r="V62" s="172"/>
      <c r="W62" s="4"/>
    </row>
    <row r="63" spans="1:23" ht="14.1" customHeight="1" x14ac:dyDescent="0.25">
      <c r="A63" s="101"/>
      <c r="B63" s="34" t="s">
        <v>164</v>
      </c>
      <c r="C63" s="352"/>
      <c r="D63" s="372"/>
      <c r="E63" s="429"/>
      <c r="F63" s="424"/>
      <c r="G63" s="424"/>
      <c r="H63" s="424"/>
      <c r="I63" s="424"/>
      <c r="J63" s="426"/>
      <c r="K63" s="424"/>
      <c r="L63" s="424"/>
      <c r="M63" s="424"/>
      <c r="N63" s="424"/>
      <c r="O63" s="424"/>
      <c r="P63" s="426"/>
      <c r="Q63" s="424"/>
      <c r="R63" s="424"/>
      <c r="S63" s="83"/>
      <c r="T63" s="427"/>
      <c r="U63" s="427"/>
      <c r="V63" s="172"/>
      <c r="W63" s="4"/>
    </row>
    <row r="64" spans="1:23" ht="14.1" customHeight="1" x14ac:dyDescent="0.25">
      <c r="A64" s="134">
        <v>27</v>
      </c>
      <c r="B64" s="31" t="s">
        <v>170</v>
      </c>
      <c r="C64" s="351" t="s">
        <v>263</v>
      </c>
      <c r="D64" s="371" t="s">
        <v>463</v>
      </c>
      <c r="E64" s="428">
        <f>SUM('PK PNS'!E62:E63)</f>
        <v>7200</v>
      </c>
      <c r="F64" s="423">
        <v>499535</v>
      </c>
      <c r="G64" s="423">
        <f t="shared" si="0"/>
        <v>4995.3500000000004</v>
      </c>
      <c r="H64" s="423">
        <f t="shared" si="1"/>
        <v>494539.65</v>
      </c>
      <c r="I64" s="423">
        <f t="shared" ref="I64" si="59">SUM(H64*60%)</f>
        <v>296723.78999999998</v>
      </c>
      <c r="J64" s="425">
        <f>SUM('PK PNS'!I62:I63)</f>
        <v>1</v>
      </c>
      <c r="K64" s="423">
        <f t="shared" si="2"/>
        <v>296723.78999999998</v>
      </c>
      <c r="L64" s="423">
        <f t="shared" ref="L64" si="60">SUM(H64*40%)</f>
        <v>197815.86000000002</v>
      </c>
      <c r="M64" s="423">
        <f>SUM(L64*Tabel_Perhitungan!AB64)</f>
        <v>2967.2379000000001</v>
      </c>
      <c r="N64" s="423">
        <f t="shared" si="3"/>
        <v>194848.62210000001</v>
      </c>
      <c r="O64" s="423">
        <f t="shared" si="4"/>
        <v>491572.41209999996</v>
      </c>
      <c r="P64" s="425">
        <v>0.05</v>
      </c>
      <c r="Q64" s="423">
        <f t="shared" si="5"/>
        <v>24578.620605</v>
      </c>
      <c r="R64" s="423">
        <f t="shared" si="6"/>
        <v>466993.79149499995</v>
      </c>
      <c r="S64" s="82">
        <v>27</v>
      </c>
      <c r="T64" s="427"/>
      <c r="U64" s="427"/>
      <c r="V64" s="172"/>
      <c r="W64" s="4"/>
    </row>
    <row r="65" spans="1:23" ht="14.1" customHeight="1" x14ac:dyDescent="0.25">
      <c r="A65" s="101"/>
      <c r="B65" s="34" t="s">
        <v>163</v>
      </c>
      <c r="C65" s="352"/>
      <c r="D65" s="372"/>
      <c r="E65" s="429"/>
      <c r="F65" s="424"/>
      <c r="G65" s="424"/>
      <c r="H65" s="424"/>
      <c r="I65" s="424"/>
      <c r="J65" s="426"/>
      <c r="K65" s="424"/>
      <c r="L65" s="424"/>
      <c r="M65" s="424"/>
      <c r="N65" s="424"/>
      <c r="O65" s="424"/>
      <c r="P65" s="426"/>
      <c r="Q65" s="424"/>
      <c r="R65" s="424"/>
      <c r="S65" s="83"/>
      <c r="T65" s="427"/>
      <c r="U65" s="427"/>
      <c r="V65" s="172"/>
      <c r="W65" s="4"/>
    </row>
    <row r="66" spans="1:23" ht="14.1" customHeight="1" x14ac:dyDescent="0.25">
      <c r="A66" s="134">
        <v>28</v>
      </c>
      <c r="B66" s="41" t="s">
        <v>76</v>
      </c>
      <c r="C66" s="351" t="s">
        <v>466</v>
      </c>
      <c r="D66" s="371" t="s">
        <v>463</v>
      </c>
      <c r="E66" s="428">
        <f>SUM('PK PNS'!E64:E65)</f>
        <v>7210</v>
      </c>
      <c r="F66" s="423">
        <v>499535</v>
      </c>
      <c r="G66" s="423">
        <f t="shared" si="0"/>
        <v>4995.3500000000004</v>
      </c>
      <c r="H66" s="423">
        <f t="shared" si="1"/>
        <v>494539.65</v>
      </c>
      <c r="I66" s="423">
        <f t="shared" ref="I66" si="61">SUM(H66*60%)</f>
        <v>296723.78999999998</v>
      </c>
      <c r="J66" s="425">
        <f>SUM('PK PNS'!I64:I65)</f>
        <v>1</v>
      </c>
      <c r="K66" s="423">
        <f t="shared" si="2"/>
        <v>296723.78999999998</v>
      </c>
      <c r="L66" s="423">
        <f t="shared" ref="L66" si="62">SUM(H66*40%)</f>
        <v>197815.86000000002</v>
      </c>
      <c r="M66" s="423">
        <f>SUM(L66*Tabel_Perhitungan!AB66)</f>
        <v>17803.4274</v>
      </c>
      <c r="N66" s="423">
        <f t="shared" si="3"/>
        <v>180012.4326</v>
      </c>
      <c r="O66" s="423">
        <f t="shared" si="4"/>
        <v>476736.22259999998</v>
      </c>
      <c r="P66" s="425">
        <v>0.05</v>
      </c>
      <c r="Q66" s="423">
        <f t="shared" si="5"/>
        <v>23836.811130000002</v>
      </c>
      <c r="R66" s="423">
        <f t="shared" si="6"/>
        <v>452899.41146999999</v>
      </c>
      <c r="S66" s="82">
        <v>28</v>
      </c>
      <c r="T66" s="427"/>
      <c r="U66" s="427"/>
      <c r="V66" s="172"/>
      <c r="W66" s="4"/>
    </row>
    <row r="67" spans="1:23" ht="14.1" customHeight="1" x14ac:dyDescent="0.25">
      <c r="A67" s="101"/>
      <c r="B67" s="40" t="s">
        <v>159</v>
      </c>
      <c r="C67" s="352"/>
      <c r="D67" s="372"/>
      <c r="E67" s="429"/>
      <c r="F67" s="424"/>
      <c r="G67" s="424"/>
      <c r="H67" s="424"/>
      <c r="I67" s="424"/>
      <c r="J67" s="426"/>
      <c r="K67" s="424"/>
      <c r="L67" s="424"/>
      <c r="M67" s="424"/>
      <c r="N67" s="424"/>
      <c r="O67" s="424"/>
      <c r="P67" s="426"/>
      <c r="Q67" s="424"/>
      <c r="R67" s="424"/>
      <c r="S67" s="83"/>
      <c r="T67" s="427"/>
      <c r="U67" s="427"/>
      <c r="V67" s="172"/>
      <c r="W67" s="4"/>
    </row>
    <row r="68" spans="1:23" ht="14.1" customHeight="1" x14ac:dyDescent="0.25">
      <c r="A68" s="134">
        <v>29</v>
      </c>
      <c r="B68" s="41" t="s">
        <v>158</v>
      </c>
      <c r="C68" s="351" t="s">
        <v>259</v>
      </c>
      <c r="D68" s="371" t="s">
        <v>464</v>
      </c>
      <c r="E68" s="428">
        <f>SUM('PK PNS'!E66:E67)</f>
        <v>6900</v>
      </c>
      <c r="F68" s="423">
        <v>620474</v>
      </c>
      <c r="G68" s="423">
        <f t="shared" si="0"/>
        <v>6204.74</v>
      </c>
      <c r="H68" s="423">
        <f t="shared" si="1"/>
        <v>614269.26</v>
      </c>
      <c r="I68" s="423">
        <f t="shared" ref="I68" si="63">SUM(H68*60%)</f>
        <v>368561.55599999998</v>
      </c>
      <c r="J68" s="425">
        <f>SUM('PK PNS'!I66:I67)</f>
        <v>1</v>
      </c>
      <c r="K68" s="423">
        <f t="shared" si="2"/>
        <v>368561.55599999998</v>
      </c>
      <c r="L68" s="423">
        <f t="shared" ref="L68" si="64">SUM(H68*40%)</f>
        <v>245707.70400000003</v>
      </c>
      <c r="M68" s="423">
        <f>SUM(L68*Tabel_Perhitungan!AB68)</f>
        <v>0</v>
      </c>
      <c r="N68" s="423">
        <f t="shared" si="3"/>
        <v>245707.70400000003</v>
      </c>
      <c r="O68" s="423">
        <f t="shared" si="4"/>
        <v>614269.26</v>
      </c>
      <c r="P68" s="425">
        <v>0.15</v>
      </c>
      <c r="Q68" s="423">
        <f t="shared" si="5"/>
        <v>92140.388999999996</v>
      </c>
      <c r="R68" s="423">
        <f t="shared" si="6"/>
        <v>522128.87100000004</v>
      </c>
      <c r="S68" s="82">
        <v>29</v>
      </c>
      <c r="T68" s="427"/>
      <c r="U68" s="427"/>
      <c r="V68" s="172"/>
      <c r="W68" s="4"/>
    </row>
    <row r="69" spans="1:23" ht="14.1" customHeight="1" x14ac:dyDescent="0.25">
      <c r="A69" s="101"/>
      <c r="B69" s="40" t="s">
        <v>157</v>
      </c>
      <c r="C69" s="352"/>
      <c r="D69" s="372"/>
      <c r="E69" s="429"/>
      <c r="F69" s="424"/>
      <c r="G69" s="424"/>
      <c r="H69" s="424"/>
      <c r="I69" s="424"/>
      <c r="J69" s="426"/>
      <c r="K69" s="424"/>
      <c r="L69" s="424"/>
      <c r="M69" s="424"/>
      <c r="N69" s="424"/>
      <c r="O69" s="424"/>
      <c r="P69" s="426"/>
      <c r="Q69" s="424"/>
      <c r="R69" s="424"/>
      <c r="S69" s="83"/>
      <c r="T69" s="427"/>
      <c r="U69" s="427"/>
      <c r="V69" s="172"/>
      <c r="W69" s="4"/>
    </row>
    <row r="70" spans="1:23" ht="14.1" customHeight="1" x14ac:dyDescent="0.25">
      <c r="A70" s="134">
        <v>30</v>
      </c>
      <c r="B70" s="41" t="s">
        <v>156</v>
      </c>
      <c r="C70" s="351" t="s">
        <v>260</v>
      </c>
      <c r="D70" s="351" t="s">
        <v>293</v>
      </c>
      <c r="E70" s="428">
        <f>SUM('PK PNS'!E68:E69)</f>
        <v>7643</v>
      </c>
      <c r="F70" s="423">
        <v>440438</v>
      </c>
      <c r="G70" s="423">
        <f t="shared" si="0"/>
        <v>4404.38</v>
      </c>
      <c r="H70" s="423">
        <f t="shared" si="1"/>
        <v>436033.62</v>
      </c>
      <c r="I70" s="423">
        <f t="shared" ref="I70" si="65">SUM(H70*60%)</f>
        <v>261620.17199999999</v>
      </c>
      <c r="J70" s="425">
        <f>SUM('PK PNS'!I68:I69)</f>
        <v>1</v>
      </c>
      <c r="K70" s="423">
        <f t="shared" si="2"/>
        <v>261620.17199999999</v>
      </c>
      <c r="L70" s="423">
        <f t="shared" ref="L70" si="66">SUM(H70*40%)</f>
        <v>174413.448</v>
      </c>
      <c r="M70" s="423">
        <f>SUM(L70*Tabel_Perhitungan!AB70)</f>
        <v>15697.21032</v>
      </c>
      <c r="N70" s="423">
        <f t="shared" si="3"/>
        <v>158716.23767999999</v>
      </c>
      <c r="O70" s="423">
        <f t="shared" si="4"/>
        <v>420336.40967999998</v>
      </c>
      <c r="P70" s="425">
        <v>0.05</v>
      </c>
      <c r="Q70" s="423">
        <f t="shared" si="5"/>
        <v>21016.820484</v>
      </c>
      <c r="R70" s="423">
        <f t="shared" si="6"/>
        <v>399319.58919599996</v>
      </c>
      <c r="S70" s="82">
        <v>30</v>
      </c>
      <c r="T70" s="427"/>
      <c r="U70" s="427"/>
      <c r="V70" s="172"/>
      <c r="W70" s="4"/>
    </row>
    <row r="71" spans="1:23" ht="14.1" customHeight="1" x14ac:dyDescent="0.25">
      <c r="A71" s="101"/>
      <c r="B71" s="40" t="s">
        <v>155</v>
      </c>
      <c r="C71" s="352"/>
      <c r="D71" s="352"/>
      <c r="E71" s="429"/>
      <c r="F71" s="424"/>
      <c r="G71" s="424"/>
      <c r="H71" s="424"/>
      <c r="I71" s="424"/>
      <c r="J71" s="426"/>
      <c r="K71" s="424"/>
      <c r="L71" s="424"/>
      <c r="M71" s="424"/>
      <c r="N71" s="424"/>
      <c r="O71" s="424"/>
      <c r="P71" s="426"/>
      <c r="Q71" s="424"/>
      <c r="R71" s="424"/>
      <c r="S71" s="83"/>
      <c r="T71" s="427"/>
      <c r="U71" s="427"/>
      <c r="V71" s="172"/>
      <c r="W71" s="4"/>
    </row>
    <row r="72" spans="1:23" ht="14.1" customHeight="1" x14ac:dyDescent="0.25">
      <c r="A72" s="134">
        <v>31</v>
      </c>
      <c r="B72" s="41" t="s">
        <v>82</v>
      </c>
      <c r="C72" s="351" t="s">
        <v>262</v>
      </c>
      <c r="D72" s="351" t="s">
        <v>294</v>
      </c>
      <c r="E72" s="428">
        <f>SUM('PK PNS'!E70:E71)</f>
        <v>7275</v>
      </c>
      <c r="F72" s="423">
        <v>382735</v>
      </c>
      <c r="G72" s="423">
        <f t="shared" si="0"/>
        <v>3827.35</v>
      </c>
      <c r="H72" s="423">
        <f t="shared" si="1"/>
        <v>378907.65</v>
      </c>
      <c r="I72" s="423">
        <f t="shared" ref="I72" si="67">SUM(H72*60%)</f>
        <v>227344.59</v>
      </c>
      <c r="J72" s="425">
        <f>SUM('PK PNS'!I70:I71)</f>
        <v>1</v>
      </c>
      <c r="K72" s="423">
        <f t="shared" si="2"/>
        <v>227344.59</v>
      </c>
      <c r="L72" s="423">
        <f t="shared" ref="L72" si="68">SUM(H72*40%)</f>
        <v>151563.06000000003</v>
      </c>
      <c r="M72" s="423">
        <f>SUM(L72*Tabel_Perhitungan!AB72)</f>
        <v>0</v>
      </c>
      <c r="N72" s="423">
        <f t="shared" si="3"/>
        <v>151563.06000000003</v>
      </c>
      <c r="O72" s="423">
        <f t="shared" si="4"/>
        <v>378907.65</v>
      </c>
      <c r="P72" s="425">
        <v>0.05</v>
      </c>
      <c r="Q72" s="423">
        <f t="shared" si="5"/>
        <v>18945.382500000003</v>
      </c>
      <c r="R72" s="423">
        <f t="shared" si="6"/>
        <v>359962.26750000002</v>
      </c>
      <c r="S72" s="82">
        <v>31</v>
      </c>
      <c r="T72" s="427"/>
      <c r="U72" s="427"/>
      <c r="V72" s="172"/>
      <c r="W72" s="4"/>
    </row>
    <row r="73" spans="1:23" ht="14.1" customHeight="1" x14ac:dyDescent="0.25">
      <c r="A73" s="101"/>
      <c r="B73" s="40" t="s">
        <v>154</v>
      </c>
      <c r="C73" s="352"/>
      <c r="D73" s="352"/>
      <c r="E73" s="429"/>
      <c r="F73" s="424"/>
      <c r="G73" s="424"/>
      <c r="H73" s="424"/>
      <c r="I73" s="424"/>
      <c r="J73" s="426"/>
      <c r="K73" s="424"/>
      <c r="L73" s="424"/>
      <c r="M73" s="424"/>
      <c r="N73" s="424"/>
      <c r="O73" s="424"/>
      <c r="P73" s="426"/>
      <c r="Q73" s="424"/>
      <c r="R73" s="424"/>
      <c r="S73" s="83"/>
      <c r="T73" s="427"/>
      <c r="U73" s="427"/>
      <c r="V73" s="172"/>
      <c r="W73" s="4"/>
    </row>
    <row r="74" spans="1:23" ht="14.1" customHeight="1" x14ac:dyDescent="0.25">
      <c r="A74" s="134">
        <v>32</v>
      </c>
      <c r="B74" s="44" t="s">
        <v>152</v>
      </c>
      <c r="C74" s="351" t="s">
        <v>260</v>
      </c>
      <c r="D74" s="351" t="s">
        <v>462</v>
      </c>
      <c r="E74" s="428">
        <f>SUM('PK PNS'!E72:E73)</f>
        <v>6759</v>
      </c>
      <c r="F74" s="423">
        <v>499535</v>
      </c>
      <c r="G74" s="423">
        <f t="shared" si="0"/>
        <v>4995.3500000000004</v>
      </c>
      <c r="H74" s="423">
        <f t="shared" si="1"/>
        <v>494539.65</v>
      </c>
      <c r="I74" s="423">
        <f t="shared" ref="I74" si="69">SUM(H74*60%)</f>
        <v>296723.78999999998</v>
      </c>
      <c r="J74" s="425">
        <f>SUM('PK PNS'!I72:I73)</f>
        <v>1</v>
      </c>
      <c r="K74" s="423">
        <f t="shared" si="2"/>
        <v>296723.78999999998</v>
      </c>
      <c r="L74" s="423">
        <f t="shared" ref="L74" si="70">SUM(H74*40%)</f>
        <v>197815.86000000002</v>
      </c>
      <c r="M74" s="423">
        <f>SUM(L74*Tabel_Perhitungan!AB74)</f>
        <v>0</v>
      </c>
      <c r="N74" s="423">
        <f t="shared" si="3"/>
        <v>197815.86000000002</v>
      </c>
      <c r="O74" s="423">
        <f t="shared" si="4"/>
        <v>494539.65</v>
      </c>
      <c r="P74" s="425">
        <v>0.05</v>
      </c>
      <c r="Q74" s="423">
        <f t="shared" si="5"/>
        <v>24726.982500000002</v>
      </c>
      <c r="R74" s="423">
        <f t="shared" si="6"/>
        <v>469812.66750000004</v>
      </c>
      <c r="S74" s="82">
        <v>32</v>
      </c>
      <c r="T74" s="427"/>
      <c r="U74" s="427"/>
      <c r="V74" s="172"/>
      <c r="W74" s="4"/>
    </row>
    <row r="75" spans="1:23" ht="14.1" customHeight="1" x14ac:dyDescent="0.25">
      <c r="A75" s="101"/>
      <c r="B75" s="45" t="s">
        <v>153</v>
      </c>
      <c r="C75" s="352"/>
      <c r="D75" s="352"/>
      <c r="E75" s="429"/>
      <c r="F75" s="424"/>
      <c r="G75" s="424"/>
      <c r="H75" s="424"/>
      <c r="I75" s="424"/>
      <c r="J75" s="426"/>
      <c r="K75" s="424"/>
      <c r="L75" s="424"/>
      <c r="M75" s="424"/>
      <c r="N75" s="424"/>
      <c r="O75" s="424"/>
      <c r="P75" s="426"/>
      <c r="Q75" s="424"/>
      <c r="R75" s="424"/>
      <c r="S75" s="83"/>
      <c r="T75" s="427"/>
      <c r="U75" s="427"/>
      <c r="V75" s="172"/>
      <c r="W75" s="4"/>
    </row>
    <row r="76" spans="1:23" ht="14.1" customHeight="1" x14ac:dyDescent="0.25">
      <c r="A76" s="134">
        <v>33</v>
      </c>
      <c r="B76" s="42" t="s">
        <v>151</v>
      </c>
      <c r="C76" s="351" t="s">
        <v>260</v>
      </c>
      <c r="D76" s="351" t="s">
        <v>287</v>
      </c>
      <c r="E76" s="428">
        <f>SUM('PK PNS'!E74:E75)</f>
        <v>6820</v>
      </c>
      <c r="F76" s="423">
        <v>440438</v>
      </c>
      <c r="G76" s="423">
        <f t="shared" si="0"/>
        <v>4404.38</v>
      </c>
      <c r="H76" s="423">
        <f t="shared" si="1"/>
        <v>436033.62</v>
      </c>
      <c r="I76" s="423">
        <f t="shared" ref="I76" si="71">SUM(H76*60%)</f>
        <v>261620.17199999999</v>
      </c>
      <c r="J76" s="425">
        <f>SUM('PK PNS'!I74:I75)</f>
        <v>1</v>
      </c>
      <c r="K76" s="423">
        <f t="shared" si="2"/>
        <v>261620.17199999999</v>
      </c>
      <c r="L76" s="423">
        <f t="shared" ref="L76" si="72">SUM(H76*40%)</f>
        <v>174413.448</v>
      </c>
      <c r="M76" s="423">
        <f>SUM(L76*Tabel_Perhitungan!AB76)</f>
        <v>872.06724000000008</v>
      </c>
      <c r="N76" s="423">
        <f t="shared" si="3"/>
        <v>173541.38076</v>
      </c>
      <c r="O76" s="423">
        <f t="shared" si="4"/>
        <v>435161.55275999999</v>
      </c>
      <c r="P76" s="425">
        <v>0.05</v>
      </c>
      <c r="Q76" s="423">
        <f t="shared" si="5"/>
        <v>21758.077638000002</v>
      </c>
      <c r="R76" s="423">
        <f t="shared" si="6"/>
        <v>413403.47512199997</v>
      </c>
      <c r="S76" s="82">
        <v>33</v>
      </c>
      <c r="T76" s="427"/>
      <c r="U76" s="427"/>
      <c r="V76" s="172"/>
      <c r="W76" s="4"/>
    </row>
    <row r="77" spans="1:23" ht="14.1" customHeight="1" x14ac:dyDescent="0.25">
      <c r="A77" s="101"/>
      <c r="B77" s="43" t="s">
        <v>150</v>
      </c>
      <c r="C77" s="352"/>
      <c r="D77" s="352"/>
      <c r="E77" s="429"/>
      <c r="F77" s="424"/>
      <c r="G77" s="424"/>
      <c r="H77" s="424"/>
      <c r="I77" s="424"/>
      <c r="J77" s="426"/>
      <c r="K77" s="424"/>
      <c r="L77" s="424"/>
      <c r="M77" s="424"/>
      <c r="N77" s="424"/>
      <c r="O77" s="424"/>
      <c r="P77" s="426"/>
      <c r="Q77" s="424"/>
      <c r="R77" s="424"/>
      <c r="S77" s="83"/>
      <c r="T77" s="427"/>
      <c r="U77" s="427"/>
      <c r="V77" s="172"/>
      <c r="W77" s="4"/>
    </row>
    <row r="78" spans="1:23" ht="14.1" customHeight="1" x14ac:dyDescent="0.25">
      <c r="A78" s="134">
        <v>34</v>
      </c>
      <c r="B78" s="96" t="s">
        <v>132</v>
      </c>
      <c r="C78" s="351" t="s">
        <v>260</v>
      </c>
      <c r="D78" s="373" t="s">
        <v>288</v>
      </c>
      <c r="E78" s="428">
        <f>SUM('PK PNS'!E76:E77)</f>
        <v>7100</v>
      </c>
      <c r="F78" s="423">
        <v>382735</v>
      </c>
      <c r="G78" s="423">
        <f t="shared" ref="G78:G118" si="73">SUM(F78*1%)</f>
        <v>3827.35</v>
      </c>
      <c r="H78" s="423">
        <f t="shared" ref="H78:H118" si="74">SUM(F78-G78)</f>
        <v>378907.65</v>
      </c>
      <c r="I78" s="423">
        <f t="shared" ref="I78" si="75">SUM(H78*60%)</f>
        <v>227344.59</v>
      </c>
      <c r="J78" s="425">
        <f>SUM('PK PNS'!I76:I77)</f>
        <v>1</v>
      </c>
      <c r="K78" s="423">
        <f t="shared" ref="K78:K118" si="76">SUM(I78*J78)</f>
        <v>227344.59</v>
      </c>
      <c r="L78" s="423">
        <f t="shared" ref="L78" si="77">SUM(H78*40%)</f>
        <v>151563.06000000003</v>
      </c>
      <c r="M78" s="423">
        <f>SUM(L78*Tabel_Perhitungan!AB78)</f>
        <v>0</v>
      </c>
      <c r="N78" s="423">
        <f t="shared" ref="N78:N118" si="78">SUM(L78-M78)</f>
        <v>151563.06000000003</v>
      </c>
      <c r="O78" s="423">
        <f t="shared" ref="O78:O118" si="79">SUM(K78+N78)</f>
        <v>378907.65</v>
      </c>
      <c r="P78" s="425">
        <v>0.05</v>
      </c>
      <c r="Q78" s="423">
        <f t="shared" ref="Q78:Q118" si="80">SUM(O78*P78)</f>
        <v>18945.382500000003</v>
      </c>
      <c r="R78" s="423">
        <f t="shared" ref="R78:R118" si="81">SUM(O78-Q78)</f>
        <v>359962.26750000002</v>
      </c>
      <c r="S78" s="82">
        <v>34</v>
      </c>
      <c r="T78" s="427"/>
      <c r="U78" s="427"/>
      <c r="V78" s="172"/>
      <c r="W78" s="4"/>
    </row>
    <row r="79" spans="1:23" ht="14.1" customHeight="1" x14ac:dyDescent="0.25">
      <c r="A79" s="101"/>
      <c r="B79" s="93" t="s">
        <v>185</v>
      </c>
      <c r="C79" s="352"/>
      <c r="D79" s="374"/>
      <c r="E79" s="429"/>
      <c r="F79" s="424"/>
      <c r="G79" s="424"/>
      <c r="H79" s="424"/>
      <c r="I79" s="424"/>
      <c r="J79" s="426"/>
      <c r="K79" s="424"/>
      <c r="L79" s="424"/>
      <c r="M79" s="424"/>
      <c r="N79" s="424"/>
      <c r="O79" s="424"/>
      <c r="P79" s="426"/>
      <c r="Q79" s="424"/>
      <c r="R79" s="424"/>
      <c r="S79" s="83"/>
      <c r="T79" s="427"/>
      <c r="U79" s="427"/>
      <c r="V79" s="172"/>
      <c r="W79" s="4"/>
    </row>
    <row r="80" spans="1:23" ht="14.1" customHeight="1" x14ac:dyDescent="0.25">
      <c r="A80" s="134">
        <v>35</v>
      </c>
      <c r="B80" s="97" t="s">
        <v>219</v>
      </c>
      <c r="C80" s="351" t="s">
        <v>457</v>
      </c>
      <c r="D80" s="371" t="s">
        <v>463</v>
      </c>
      <c r="E80" s="428">
        <f>SUM('PK PNS'!E78:E79)</f>
        <v>6835</v>
      </c>
      <c r="F80" s="423">
        <v>499535</v>
      </c>
      <c r="G80" s="423">
        <f t="shared" si="73"/>
        <v>4995.3500000000004</v>
      </c>
      <c r="H80" s="423">
        <f t="shared" si="74"/>
        <v>494539.65</v>
      </c>
      <c r="I80" s="423">
        <f t="shared" ref="I80" si="82">SUM(H80*60%)</f>
        <v>296723.78999999998</v>
      </c>
      <c r="J80" s="425">
        <f>SUM('PK PNS'!I78:I79)</f>
        <v>1</v>
      </c>
      <c r="K80" s="423">
        <f t="shared" si="76"/>
        <v>296723.78999999998</v>
      </c>
      <c r="L80" s="423">
        <f t="shared" ref="L80" si="83">SUM(H80*40%)</f>
        <v>197815.86000000002</v>
      </c>
      <c r="M80" s="423">
        <f>SUM(L80*Tabel_Perhitungan!AB80)</f>
        <v>0</v>
      </c>
      <c r="N80" s="423">
        <f t="shared" si="78"/>
        <v>197815.86000000002</v>
      </c>
      <c r="O80" s="423">
        <f t="shared" si="79"/>
        <v>494539.65</v>
      </c>
      <c r="P80" s="425">
        <v>0.05</v>
      </c>
      <c r="Q80" s="423">
        <f t="shared" si="80"/>
        <v>24726.982500000002</v>
      </c>
      <c r="R80" s="423">
        <f t="shared" si="81"/>
        <v>469812.66750000004</v>
      </c>
      <c r="S80" s="82">
        <v>35</v>
      </c>
      <c r="T80" s="427"/>
      <c r="U80" s="427"/>
      <c r="V80" s="172"/>
      <c r="W80" s="4"/>
    </row>
    <row r="81" spans="1:23" ht="14.1" customHeight="1" x14ac:dyDescent="0.25">
      <c r="A81" s="101"/>
      <c r="B81" s="93" t="s">
        <v>220</v>
      </c>
      <c r="C81" s="352"/>
      <c r="D81" s="372"/>
      <c r="E81" s="429"/>
      <c r="F81" s="424"/>
      <c r="G81" s="424"/>
      <c r="H81" s="424"/>
      <c r="I81" s="424"/>
      <c r="J81" s="426"/>
      <c r="K81" s="424"/>
      <c r="L81" s="424"/>
      <c r="M81" s="424"/>
      <c r="N81" s="424"/>
      <c r="O81" s="424"/>
      <c r="P81" s="426"/>
      <c r="Q81" s="424"/>
      <c r="R81" s="424"/>
      <c r="S81" s="83"/>
      <c r="T81" s="427"/>
      <c r="U81" s="427"/>
      <c r="V81" s="172"/>
      <c r="W81" s="4"/>
    </row>
    <row r="82" spans="1:23" ht="14.1" customHeight="1" x14ac:dyDescent="0.25">
      <c r="A82" s="134">
        <v>36</v>
      </c>
      <c r="B82" s="92" t="s">
        <v>221</v>
      </c>
      <c r="C82" s="351" t="s">
        <v>457</v>
      </c>
      <c r="D82" s="371" t="s">
        <v>463</v>
      </c>
      <c r="E82" s="428">
        <f>SUM('PK PNS'!E80:E81)</f>
        <v>6885</v>
      </c>
      <c r="F82" s="423">
        <v>499535</v>
      </c>
      <c r="G82" s="423">
        <f t="shared" si="73"/>
        <v>4995.3500000000004</v>
      </c>
      <c r="H82" s="423">
        <f t="shared" si="74"/>
        <v>494539.65</v>
      </c>
      <c r="I82" s="423">
        <f t="shared" ref="I82" si="84">SUM(H82*60%)</f>
        <v>296723.78999999998</v>
      </c>
      <c r="J82" s="425">
        <f>SUM('PK PNS'!I80:I81)</f>
        <v>1</v>
      </c>
      <c r="K82" s="423">
        <f t="shared" si="76"/>
        <v>296723.78999999998</v>
      </c>
      <c r="L82" s="423">
        <f t="shared" ref="L82" si="85">SUM(H82*40%)</f>
        <v>197815.86000000002</v>
      </c>
      <c r="M82" s="423">
        <f>SUM(L82*Tabel_Perhitungan!AB82)</f>
        <v>20770.665300000001</v>
      </c>
      <c r="N82" s="423">
        <f t="shared" si="78"/>
        <v>177045.19470000002</v>
      </c>
      <c r="O82" s="423">
        <f t="shared" si="79"/>
        <v>473768.98470000003</v>
      </c>
      <c r="P82" s="425">
        <v>0.05</v>
      </c>
      <c r="Q82" s="423">
        <f t="shared" si="80"/>
        <v>23688.449235000004</v>
      </c>
      <c r="R82" s="423">
        <f t="shared" si="81"/>
        <v>450080.53546500002</v>
      </c>
      <c r="S82" s="82">
        <v>36</v>
      </c>
      <c r="T82" s="427"/>
      <c r="U82" s="427"/>
      <c r="V82" s="172"/>
      <c r="W82" s="4"/>
    </row>
    <row r="83" spans="1:23" ht="14.1" customHeight="1" x14ac:dyDescent="0.25">
      <c r="A83" s="101"/>
      <c r="B83" s="93" t="s">
        <v>222</v>
      </c>
      <c r="C83" s="352"/>
      <c r="D83" s="372"/>
      <c r="E83" s="429"/>
      <c r="F83" s="424"/>
      <c r="G83" s="424"/>
      <c r="H83" s="424"/>
      <c r="I83" s="424"/>
      <c r="J83" s="426"/>
      <c r="K83" s="424"/>
      <c r="L83" s="424"/>
      <c r="M83" s="424"/>
      <c r="N83" s="424"/>
      <c r="O83" s="424"/>
      <c r="P83" s="426"/>
      <c r="Q83" s="424"/>
      <c r="R83" s="424"/>
      <c r="S83" s="83"/>
      <c r="T83" s="427"/>
      <c r="U83" s="427"/>
      <c r="V83" s="172"/>
      <c r="W83" s="4"/>
    </row>
    <row r="84" spans="1:23" ht="14.1" customHeight="1" x14ac:dyDescent="0.25">
      <c r="A84" s="134">
        <v>37</v>
      </c>
      <c r="B84" s="97" t="s">
        <v>223</v>
      </c>
      <c r="C84" s="357" t="s">
        <v>328</v>
      </c>
      <c r="D84" s="351" t="s">
        <v>289</v>
      </c>
      <c r="E84" s="428">
        <f>SUM('PK PNS'!E82:E83)</f>
        <v>7445</v>
      </c>
      <c r="F84" s="423">
        <v>382735</v>
      </c>
      <c r="G84" s="423">
        <f t="shared" si="73"/>
        <v>3827.35</v>
      </c>
      <c r="H84" s="423">
        <f t="shared" si="74"/>
        <v>378907.65</v>
      </c>
      <c r="I84" s="423">
        <f t="shared" ref="I84" si="86">SUM(H84*60%)</f>
        <v>227344.59</v>
      </c>
      <c r="J84" s="425">
        <f>SUM('PK PNS'!I82:I83)</f>
        <v>1</v>
      </c>
      <c r="K84" s="423">
        <f t="shared" si="76"/>
        <v>227344.59</v>
      </c>
      <c r="L84" s="423">
        <f t="shared" ref="L84" si="87">SUM(H84*40%)</f>
        <v>151563.06000000003</v>
      </c>
      <c r="M84" s="423">
        <f>SUM(L84*Tabel_Perhitungan!AB84)</f>
        <v>0</v>
      </c>
      <c r="N84" s="423">
        <f t="shared" si="78"/>
        <v>151563.06000000003</v>
      </c>
      <c r="O84" s="423">
        <f t="shared" si="79"/>
        <v>378907.65</v>
      </c>
      <c r="P84" s="430"/>
      <c r="Q84" s="423">
        <f t="shared" si="80"/>
        <v>0</v>
      </c>
      <c r="R84" s="423">
        <f t="shared" si="81"/>
        <v>378907.65</v>
      </c>
      <c r="S84" s="82">
        <v>37</v>
      </c>
      <c r="T84" s="427"/>
      <c r="U84" s="427"/>
      <c r="V84" s="172"/>
      <c r="W84" s="4"/>
    </row>
    <row r="85" spans="1:23" ht="14.1" customHeight="1" x14ac:dyDescent="0.25">
      <c r="A85" s="101"/>
      <c r="B85" s="94" t="s">
        <v>224</v>
      </c>
      <c r="C85" s="358"/>
      <c r="D85" s="352"/>
      <c r="E85" s="429"/>
      <c r="F85" s="424"/>
      <c r="G85" s="424"/>
      <c r="H85" s="424"/>
      <c r="I85" s="424"/>
      <c r="J85" s="426"/>
      <c r="K85" s="424"/>
      <c r="L85" s="424"/>
      <c r="M85" s="424"/>
      <c r="N85" s="424"/>
      <c r="O85" s="424"/>
      <c r="P85" s="431"/>
      <c r="Q85" s="424"/>
      <c r="R85" s="424"/>
      <c r="S85" s="83"/>
      <c r="T85" s="427"/>
      <c r="U85" s="427"/>
      <c r="V85" s="172"/>
      <c r="W85" s="172"/>
    </row>
    <row r="86" spans="1:23" ht="14.1" customHeight="1" x14ac:dyDescent="0.25">
      <c r="A86" s="134">
        <v>38</v>
      </c>
      <c r="B86" s="95" t="s">
        <v>352</v>
      </c>
      <c r="C86" s="351" t="s">
        <v>263</v>
      </c>
      <c r="D86" s="351" t="s">
        <v>290</v>
      </c>
      <c r="E86" s="428">
        <f>SUM('PK PNS'!E84:E85)</f>
        <v>7435</v>
      </c>
      <c r="F86" s="423">
        <v>319202</v>
      </c>
      <c r="G86" s="423">
        <f t="shared" si="73"/>
        <v>3192.02</v>
      </c>
      <c r="H86" s="423">
        <f t="shared" si="74"/>
        <v>316009.98</v>
      </c>
      <c r="I86" s="423">
        <f t="shared" ref="I86" si="88">SUM(H86*60%)</f>
        <v>189605.98799999998</v>
      </c>
      <c r="J86" s="425">
        <f>SUM('PK PNS'!I84:I85)</f>
        <v>1</v>
      </c>
      <c r="K86" s="423">
        <f t="shared" si="76"/>
        <v>189605.98799999998</v>
      </c>
      <c r="L86" s="423">
        <f t="shared" ref="L86" si="89">SUM(H86*40%)</f>
        <v>126403.992</v>
      </c>
      <c r="M86" s="423">
        <f>SUM(L86*Tabel_Perhitungan!AB86)</f>
        <v>8216.2594800000006</v>
      </c>
      <c r="N86" s="423">
        <f t="shared" si="78"/>
        <v>118187.73251999999</v>
      </c>
      <c r="O86" s="423">
        <f t="shared" si="79"/>
        <v>307793.72051999997</v>
      </c>
      <c r="P86" s="430">
        <v>0.05</v>
      </c>
      <c r="Q86" s="423">
        <f t="shared" si="80"/>
        <v>15389.686025999999</v>
      </c>
      <c r="R86" s="423">
        <f t="shared" si="81"/>
        <v>292404.03449399996</v>
      </c>
      <c r="S86" s="82">
        <v>38</v>
      </c>
      <c r="T86" s="427"/>
      <c r="U86" s="427"/>
      <c r="V86" s="172"/>
      <c r="W86" s="172"/>
    </row>
    <row r="87" spans="1:23" ht="14.1" customHeight="1" x14ac:dyDescent="0.25">
      <c r="A87" s="101"/>
      <c r="B87" s="93" t="s">
        <v>226</v>
      </c>
      <c r="C87" s="352"/>
      <c r="D87" s="352"/>
      <c r="E87" s="429"/>
      <c r="F87" s="424"/>
      <c r="G87" s="424"/>
      <c r="H87" s="424"/>
      <c r="I87" s="424"/>
      <c r="J87" s="426"/>
      <c r="K87" s="424"/>
      <c r="L87" s="424"/>
      <c r="M87" s="424"/>
      <c r="N87" s="424"/>
      <c r="O87" s="424"/>
      <c r="P87" s="431"/>
      <c r="Q87" s="424"/>
      <c r="R87" s="424"/>
      <c r="S87" s="83"/>
      <c r="T87" s="427"/>
      <c r="U87" s="427"/>
      <c r="V87" s="172"/>
      <c r="W87" s="172"/>
    </row>
    <row r="88" spans="1:23" ht="14.1" customHeight="1" x14ac:dyDescent="0.25">
      <c r="A88" s="134">
        <v>39</v>
      </c>
      <c r="B88" s="94" t="s">
        <v>246</v>
      </c>
      <c r="C88" s="351" t="s">
        <v>261</v>
      </c>
      <c r="D88" s="351" t="s">
        <v>286</v>
      </c>
      <c r="E88" s="428">
        <f>SUM('PK PNS'!E86:E87)</f>
        <v>7662</v>
      </c>
      <c r="F88" s="423">
        <v>382735</v>
      </c>
      <c r="G88" s="423">
        <f t="shared" si="73"/>
        <v>3827.35</v>
      </c>
      <c r="H88" s="423">
        <f t="shared" si="74"/>
        <v>378907.65</v>
      </c>
      <c r="I88" s="423">
        <f t="shared" ref="I88" si="90">SUM(H88*60%)</f>
        <v>227344.59</v>
      </c>
      <c r="J88" s="425">
        <f>SUM('PK PNS'!I86:I87)</f>
        <v>1</v>
      </c>
      <c r="K88" s="423">
        <f t="shared" si="76"/>
        <v>227344.59</v>
      </c>
      <c r="L88" s="423">
        <f t="shared" ref="L88" si="91">SUM(H88*40%)</f>
        <v>151563.06000000003</v>
      </c>
      <c r="M88" s="423">
        <f>SUM(L88*Tabel_Perhitungan!AB88)</f>
        <v>21597.736050000003</v>
      </c>
      <c r="N88" s="423">
        <f t="shared" si="78"/>
        <v>129965.32395000002</v>
      </c>
      <c r="O88" s="423">
        <f t="shared" si="79"/>
        <v>357309.91395000002</v>
      </c>
      <c r="P88" s="430">
        <v>0.05</v>
      </c>
      <c r="Q88" s="423">
        <f t="shared" si="80"/>
        <v>17865.495697500002</v>
      </c>
      <c r="R88" s="423">
        <f t="shared" si="81"/>
        <v>339444.41825250001</v>
      </c>
      <c r="S88" s="82">
        <v>39</v>
      </c>
      <c r="T88" s="427"/>
      <c r="U88" s="427"/>
      <c r="V88" s="172"/>
      <c r="W88" s="4"/>
    </row>
    <row r="89" spans="1:23" ht="14.1" customHeight="1" x14ac:dyDescent="0.25">
      <c r="A89" s="101"/>
      <c r="B89" s="99" t="s">
        <v>245</v>
      </c>
      <c r="C89" s="352"/>
      <c r="D89" s="352"/>
      <c r="E89" s="429"/>
      <c r="F89" s="424"/>
      <c r="G89" s="424"/>
      <c r="H89" s="424"/>
      <c r="I89" s="424"/>
      <c r="J89" s="426"/>
      <c r="K89" s="424"/>
      <c r="L89" s="424"/>
      <c r="M89" s="424"/>
      <c r="N89" s="424"/>
      <c r="O89" s="424"/>
      <c r="P89" s="431"/>
      <c r="Q89" s="424"/>
      <c r="R89" s="424"/>
      <c r="S89" s="83"/>
      <c r="T89" s="427"/>
      <c r="U89" s="427"/>
      <c r="V89" s="172"/>
      <c r="W89" s="4"/>
    </row>
    <row r="90" spans="1:23" ht="15" customHeight="1" x14ac:dyDescent="0.25">
      <c r="A90" s="57">
        <v>40</v>
      </c>
      <c r="B90" s="96" t="s">
        <v>238</v>
      </c>
      <c r="C90" s="351" t="s">
        <v>261</v>
      </c>
      <c r="D90" s="351" t="s">
        <v>291</v>
      </c>
      <c r="E90" s="428">
        <f>SUM('PK PNS'!E88:E89)</f>
        <v>7705</v>
      </c>
      <c r="F90" s="423">
        <v>382735</v>
      </c>
      <c r="G90" s="423">
        <f t="shared" si="73"/>
        <v>3827.35</v>
      </c>
      <c r="H90" s="423">
        <f t="shared" si="74"/>
        <v>378907.65</v>
      </c>
      <c r="I90" s="423">
        <f t="shared" ref="I90" si="92">SUM(H90*60%)</f>
        <v>227344.59</v>
      </c>
      <c r="J90" s="425">
        <f>SUM('PK PNS'!I88:I89)</f>
        <v>1</v>
      </c>
      <c r="K90" s="423">
        <f t="shared" si="76"/>
        <v>227344.59</v>
      </c>
      <c r="L90" s="423">
        <f t="shared" ref="L90" si="93">SUM(H90*40%)</f>
        <v>151563.06000000003</v>
      </c>
      <c r="M90" s="423">
        <f>SUM(L90*Tabel_Perhitungan!AB90)</f>
        <v>0</v>
      </c>
      <c r="N90" s="423">
        <f t="shared" si="78"/>
        <v>151563.06000000003</v>
      </c>
      <c r="O90" s="423">
        <f t="shared" si="79"/>
        <v>378907.65</v>
      </c>
      <c r="P90" s="430">
        <v>0.05</v>
      </c>
      <c r="Q90" s="423">
        <f t="shared" si="80"/>
        <v>18945.382500000003</v>
      </c>
      <c r="R90" s="423">
        <f t="shared" si="81"/>
        <v>359962.26750000002</v>
      </c>
      <c r="S90" s="84">
        <v>40</v>
      </c>
      <c r="T90" s="427"/>
      <c r="U90" s="427"/>
      <c r="V90" s="172"/>
      <c r="W90" s="4"/>
    </row>
    <row r="91" spans="1:23" ht="15" customHeight="1" x14ac:dyDescent="0.25">
      <c r="A91" s="57"/>
      <c r="B91" s="102" t="s">
        <v>239</v>
      </c>
      <c r="C91" s="352"/>
      <c r="D91" s="352"/>
      <c r="E91" s="429"/>
      <c r="F91" s="424"/>
      <c r="G91" s="424"/>
      <c r="H91" s="424"/>
      <c r="I91" s="424"/>
      <c r="J91" s="426"/>
      <c r="K91" s="424"/>
      <c r="L91" s="424"/>
      <c r="M91" s="424"/>
      <c r="N91" s="424"/>
      <c r="O91" s="424"/>
      <c r="P91" s="431"/>
      <c r="Q91" s="424"/>
      <c r="R91" s="424"/>
      <c r="S91" s="84"/>
      <c r="T91" s="427"/>
      <c r="U91" s="427"/>
      <c r="V91" s="172"/>
      <c r="W91" s="4"/>
    </row>
    <row r="92" spans="1:23" ht="15" customHeight="1" x14ac:dyDescent="0.25">
      <c r="A92" s="134">
        <v>41</v>
      </c>
      <c r="B92" s="103" t="s">
        <v>241</v>
      </c>
      <c r="C92" s="351" t="s">
        <v>263</v>
      </c>
      <c r="D92" s="351" t="s">
        <v>292</v>
      </c>
      <c r="E92" s="428">
        <f>SUM('PK PNS'!E90:E91)</f>
        <v>6810</v>
      </c>
      <c r="F92" s="423">
        <v>440438</v>
      </c>
      <c r="G92" s="423">
        <f t="shared" si="73"/>
        <v>4404.38</v>
      </c>
      <c r="H92" s="423">
        <f t="shared" si="74"/>
        <v>436033.62</v>
      </c>
      <c r="I92" s="423">
        <f t="shared" ref="I92" si="94">SUM(H92*60%)</f>
        <v>261620.17199999999</v>
      </c>
      <c r="J92" s="425">
        <f>SUM('PK PNS'!I90:I91)</f>
        <v>1</v>
      </c>
      <c r="K92" s="423">
        <f t="shared" si="76"/>
        <v>261620.17199999999</v>
      </c>
      <c r="L92" s="423">
        <f t="shared" ref="L92" si="95">SUM(H92*40%)</f>
        <v>174413.448</v>
      </c>
      <c r="M92" s="423">
        <f>SUM(L92*Tabel_Perhitungan!AB92)</f>
        <v>0</v>
      </c>
      <c r="N92" s="423">
        <f t="shared" si="78"/>
        <v>174413.448</v>
      </c>
      <c r="O92" s="423">
        <f t="shared" si="79"/>
        <v>436033.62</v>
      </c>
      <c r="P92" s="425">
        <v>0.05</v>
      </c>
      <c r="Q92" s="423">
        <f t="shared" si="80"/>
        <v>21801.681</v>
      </c>
      <c r="R92" s="423">
        <f t="shared" si="81"/>
        <v>414231.93900000001</v>
      </c>
      <c r="S92" s="82">
        <v>41</v>
      </c>
      <c r="T92" s="427"/>
      <c r="U92" s="427"/>
      <c r="V92" s="172"/>
      <c r="W92" s="4"/>
    </row>
    <row r="93" spans="1:23" ht="15" customHeight="1" x14ac:dyDescent="0.25">
      <c r="A93" s="101"/>
      <c r="B93" s="32" t="s">
        <v>242</v>
      </c>
      <c r="C93" s="352"/>
      <c r="D93" s="352"/>
      <c r="E93" s="429"/>
      <c r="F93" s="424"/>
      <c r="G93" s="424"/>
      <c r="H93" s="424"/>
      <c r="I93" s="424"/>
      <c r="J93" s="426"/>
      <c r="K93" s="424"/>
      <c r="L93" s="424"/>
      <c r="M93" s="424"/>
      <c r="N93" s="424"/>
      <c r="O93" s="424"/>
      <c r="P93" s="424"/>
      <c r="Q93" s="424"/>
      <c r="R93" s="424"/>
      <c r="S93" s="83"/>
      <c r="T93" s="427"/>
      <c r="U93" s="427"/>
      <c r="V93" s="172"/>
      <c r="W93" s="4"/>
    </row>
    <row r="94" spans="1:23" ht="15" customHeight="1" x14ac:dyDescent="0.25">
      <c r="A94" s="134">
        <v>42</v>
      </c>
      <c r="B94" s="190" t="s">
        <v>353</v>
      </c>
      <c r="C94" s="353" t="s">
        <v>365</v>
      </c>
      <c r="D94" s="351" t="s">
        <v>354</v>
      </c>
      <c r="E94" s="428">
        <f>SUM('PK PNS'!E92:E93)</f>
        <v>7890</v>
      </c>
      <c r="F94" s="423">
        <f>SUM(499535*80%)</f>
        <v>399628</v>
      </c>
      <c r="G94" s="423">
        <f t="shared" si="73"/>
        <v>3996.28</v>
      </c>
      <c r="H94" s="423">
        <f t="shared" si="74"/>
        <v>395631.72</v>
      </c>
      <c r="I94" s="423">
        <f t="shared" ref="I94" si="96">SUM(H94*60%)</f>
        <v>237379.03199999998</v>
      </c>
      <c r="J94" s="425">
        <f>SUM('PK PNS'!I92:I93)</f>
        <v>1</v>
      </c>
      <c r="K94" s="423">
        <f t="shared" si="76"/>
        <v>237379.03199999998</v>
      </c>
      <c r="L94" s="423">
        <f t="shared" ref="L94" si="97">SUM(H94*40%)</f>
        <v>158252.68799999999</v>
      </c>
      <c r="M94" s="423">
        <f>SUM(L94*Tabel_Perhitungan!AB94)</f>
        <v>0</v>
      </c>
      <c r="N94" s="423">
        <f t="shared" si="78"/>
        <v>158252.68799999999</v>
      </c>
      <c r="O94" s="423">
        <f t="shared" si="79"/>
        <v>395631.72</v>
      </c>
      <c r="P94" s="430">
        <v>0.05</v>
      </c>
      <c r="Q94" s="423">
        <f t="shared" si="80"/>
        <v>19781.585999999999</v>
      </c>
      <c r="R94" s="423">
        <f t="shared" si="81"/>
        <v>375850.13399999996</v>
      </c>
      <c r="S94" s="82">
        <v>42</v>
      </c>
      <c r="T94" s="427"/>
      <c r="U94" s="427"/>
      <c r="V94" s="172"/>
      <c r="W94" s="4"/>
    </row>
    <row r="95" spans="1:23" ht="15" customHeight="1" x14ac:dyDescent="0.25">
      <c r="A95" s="101"/>
      <c r="B95" s="191" t="s">
        <v>426</v>
      </c>
      <c r="C95" s="354"/>
      <c r="D95" s="352"/>
      <c r="E95" s="429"/>
      <c r="F95" s="424"/>
      <c r="G95" s="424"/>
      <c r="H95" s="424"/>
      <c r="I95" s="424"/>
      <c r="J95" s="426"/>
      <c r="K95" s="424"/>
      <c r="L95" s="424"/>
      <c r="M95" s="424"/>
      <c r="N95" s="424"/>
      <c r="O95" s="424"/>
      <c r="P95" s="431"/>
      <c r="Q95" s="424"/>
      <c r="R95" s="424"/>
      <c r="S95" s="83"/>
      <c r="T95" s="427"/>
      <c r="U95" s="427"/>
      <c r="V95" s="172"/>
      <c r="W95" s="4"/>
    </row>
    <row r="96" spans="1:23" ht="15" customHeight="1" x14ac:dyDescent="0.25">
      <c r="A96" s="134">
        <v>43</v>
      </c>
      <c r="B96" s="190" t="s">
        <v>355</v>
      </c>
      <c r="C96" s="353" t="s">
        <v>365</v>
      </c>
      <c r="D96" s="351" t="s">
        <v>354</v>
      </c>
      <c r="E96" s="428">
        <f>SUM('PK PNS'!E94:E95)</f>
        <v>7290</v>
      </c>
      <c r="F96" s="423">
        <f t="shared" ref="F96" si="98">SUM(499535*80%)</f>
        <v>399628</v>
      </c>
      <c r="G96" s="423">
        <f t="shared" si="73"/>
        <v>3996.28</v>
      </c>
      <c r="H96" s="423">
        <f t="shared" si="74"/>
        <v>395631.72</v>
      </c>
      <c r="I96" s="423">
        <f t="shared" ref="I96" si="99">SUM(H96*60%)</f>
        <v>237379.03199999998</v>
      </c>
      <c r="J96" s="425">
        <f>SUM('PK PNS'!I94:I95)</f>
        <v>1</v>
      </c>
      <c r="K96" s="423">
        <f t="shared" si="76"/>
        <v>237379.03199999998</v>
      </c>
      <c r="L96" s="423">
        <f t="shared" ref="L96" si="100">SUM(H96*40%)</f>
        <v>158252.68799999999</v>
      </c>
      <c r="M96" s="423">
        <f>SUM(L96*Tabel_Perhitungan!AB96)</f>
        <v>0</v>
      </c>
      <c r="N96" s="423">
        <f t="shared" si="78"/>
        <v>158252.68799999999</v>
      </c>
      <c r="O96" s="423">
        <f t="shared" si="79"/>
        <v>395631.72</v>
      </c>
      <c r="P96" s="430">
        <v>0.05</v>
      </c>
      <c r="Q96" s="423">
        <f t="shared" si="80"/>
        <v>19781.585999999999</v>
      </c>
      <c r="R96" s="423">
        <f t="shared" si="81"/>
        <v>375850.13399999996</v>
      </c>
      <c r="S96" s="82">
        <v>43</v>
      </c>
      <c r="T96" s="427"/>
      <c r="U96" s="427"/>
      <c r="V96" s="172"/>
      <c r="W96" s="4"/>
    </row>
    <row r="97" spans="1:23" ht="15" customHeight="1" x14ac:dyDescent="0.25">
      <c r="A97" s="101"/>
      <c r="B97" s="191" t="s">
        <v>427</v>
      </c>
      <c r="C97" s="354"/>
      <c r="D97" s="352"/>
      <c r="E97" s="429"/>
      <c r="F97" s="424"/>
      <c r="G97" s="424"/>
      <c r="H97" s="424"/>
      <c r="I97" s="424"/>
      <c r="J97" s="426"/>
      <c r="K97" s="424"/>
      <c r="L97" s="424"/>
      <c r="M97" s="424"/>
      <c r="N97" s="424"/>
      <c r="O97" s="424"/>
      <c r="P97" s="431"/>
      <c r="Q97" s="424"/>
      <c r="R97" s="424"/>
      <c r="S97" s="83"/>
      <c r="T97" s="427"/>
      <c r="U97" s="427"/>
      <c r="V97" s="172"/>
      <c r="W97" s="4"/>
    </row>
    <row r="98" spans="1:23" ht="15" customHeight="1" x14ac:dyDescent="0.25">
      <c r="A98" s="134">
        <v>44</v>
      </c>
      <c r="B98" s="190" t="s">
        <v>356</v>
      </c>
      <c r="C98" s="353" t="s">
        <v>365</v>
      </c>
      <c r="D98" s="351" t="s">
        <v>354</v>
      </c>
      <c r="E98" s="428">
        <f>SUM('PK PNS'!E96:E97)</f>
        <v>7320</v>
      </c>
      <c r="F98" s="423">
        <f t="shared" ref="F98" si="101">SUM(499535*80%)</f>
        <v>399628</v>
      </c>
      <c r="G98" s="423">
        <f t="shared" si="73"/>
        <v>3996.28</v>
      </c>
      <c r="H98" s="423">
        <f t="shared" si="74"/>
        <v>395631.72</v>
      </c>
      <c r="I98" s="423">
        <f t="shared" ref="I98" si="102">SUM(H98*60%)</f>
        <v>237379.03199999998</v>
      </c>
      <c r="J98" s="425">
        <f>SUM('PK PNS'!I96:I97)</f>
        <v>1</v>
      </c>
      <c r="K98" s="423">
        <f t="shared" si="76"/>
        <v>237379.03199999998</v>
      </c>
      <c r="L98" s="423">
        <f t="shared" ref="L98" si="103">SUM(H98*40%)</f>
        <v>158252.68799999999</v>
      </c>
      <c r="M98" s="423">
        <f>SUM(L98*Tabel_Perhitungan!AB98)</f>
        <v>0</v>
      </c>
      <c r="N98" s="423">
        <f t="shared" si="78"/>
        <v>158252.68799999999</v>
      </c>
      <c r="O98" s="423">
        <f t="shared" si="79"/>
        <v>395631.72</v>
      </c>
      <c r="P98" s="430">
        <v>0.05</v>
      </c>
      <c r="Q98" s="423">
        <f t="shared" si="80"/>
        <v>19781.585999999999</v>
      </c>
      <c r="R98" s="423">
        <f t="shared" si="81"/>
        <v>375850.13399999996</v>
      </c>
      <c r="S98" s="82">
        <v>44</v>
      </c>
      <c r="T98" s="427"/>
      <c r="U98" s="427"/>
      <c r="V98" s="172"/>
      <c r="W98" s="4"/>
    </row>
    <row r="99" spans="1:23" ht="15" customHeight="1" x14ac:dyDescent="0.25">
      <c r="A99" s="101"/>
      <c r="B99" s="191" t="s">
        <v>428</v>
      </c>
      <c r="C99" s="354"/>
      <c r="D99" s="352"/>
      <c r="E99" s="429"/>
      <c r="F99" s="424"/>
      <c r="G99" s="424"/>
      <c r="H99" s="424"/>
      <c r="I99" s="424"/>
      <c r="J99" s="426"/>
      <c r="K99" s="424"/>
      <c r="L99" s="424"/>
      <c r="M99" s="424"/>
      <c r="N99" s="424"/>
      <c r="O99" s="424"/>
      <c r="P99" s="431"/>
      <c r="Q99" s="424"/>
      <c r="R99" s="424"/>
      <c r="S99" s="83"/>
      <c r="T99" s="427"/>
      <c r="U99" s="427"/>
      <c r="V99" s="172"/>
      <c r="W99" s="4"/>
    </row>
    <row r="100" spans="1:23" ht="15" customHeight="1" x14ac:dyDescent="0.25">
      <c r="A100" s="134">
        <v>45</v>
      </c>
      <c r="B100" s="190" t="s">
        <v>357</v>
      </c>
      <c r="C100" s="353" t="s">
        <v>365</v>
      </c>
      <c r="D100" s="351" t="s">
        <v>354</v>
      </c>
      <c r="E100" s="428">
        <f>SUM('PK PNS'!E98:E99)</f>
        <v>8005</v>
      </c>
      <c r="F100" s="423">
        <f t="shared" ref="F100" si="104">SUM(499535*80%)</f>
        <v>399628</v>
      </c>
      <c r="G100" s="423">
        <f t="shared" si="73"/>
        <v>3996.28</v>
      </c>
      <c r="H100" s="423">
        <f t="shared" si="74"/>
        <v>395631.72</v>
      </c>
      <c r="I100" s="423">
        <f t="shared" ref="I100" si="105">SUM(H100*60%)</f>
        <v>237379.03199999998</v>
      </c>
      <c r="J100" s="425">
        <f>SUM('PK PNS'!I98:I99)</f>
        <v>1</v>
      </c>
      <c r="K100" s="423">
        <f t="shared" si="76"/>
        <v>237379.03199999998</v>
      </c>
      <c r="L100" s="423">
        <f t="shared" ref="L100" si="106">SUM(H100*40%)</f>
        <v>158252.68799999999</v>
      </c>
      <c r="M100" s="423">
        <f>SUM(L100*Tabel_Perhitungan!AB100)</f>
        <v>0</v>
      </c>
      <c r="N100" s="423">
        <f t="shared" si="78"/>
        <v>158252.68799999999</v>
      </c>
      <c r="O100" s="423">
        <f t="shared" si="79"/>
        <v>395631.72</v>
      </c>
      <c r="P100" s="425">
        <v>0.05</v>
      </c>
      <c r="Q100" s="423">
        <f t="shared" si="80"/>
        <v>19781.585999999999</v>
      </c>
      <c r="R100" s="423">
        <f t="shared" si="81"/>
        <v>375850.13399999996</v>
      </c>
      <c r="S100" s="82">
        <v>45</v>
      </c>
      <c r="T100" s="427"/>
      <c r="U100" s="427"/>
      <c r="V100" s="172"/>
      <c r="W100" s="4"/>
    </row>
    <row r="101" spans="1:23" ht="15" customHeight="1" x14ac:dyDescent="0.25">
      <c r="A101" s="101"/>
      <c r="B101" s="191" t="s">
        <v>429</v>
      </c>
      <c r="C101" s="354"/>
      <c r="D101" s="352"/>
      <c r="E101" s="429"/>
      <c r="F101" s="424"/>
      <c r="G101" s="424"/>
      <c r="H101" s="424"/>
      <c r="I101" s="424"/>
      <c r="J101" s="426"/>
      <c r="K101" s="424"/>
      <c r="L101" s="424"/>
      <c r="M101" s="424"/>
      <c r="N101" s="424"/>
      <c r="O101" s="424"/>
      <c r="P101" s="424"/>
      <c r="Q101" s="424"/>
      <c r="R101" s="424"/>
      <c r="S101" s="83"/>
      <c r="T101" s="427"/>
      <c r="U101" s="427"/>
      <c r="V101" s="172"/>
      <c r="W101" s="4"/>
    </row>
    <row r="102" spans="1:23" ht="15" customHeight="1" x14ac:dyDescent="0.25">
      <c r="A102" s="134">
        <v>46</v>
      </c>
      <c r="B102" s="190" t="s">
        <v>363</v>
      </c>
      <c r="C102" s="353" t="s">
        <v>365</v>
      </c>
      <c r="D102" s="351" t="s">
        <v>354</v>
      </c>
      <c r="E102" s="428">
        <f>SUM('PK PNS'!E100:E101)</f>
        <v>7790</v>
      </c>
      <c r="F102" s="423">
        <f t="shared" ref="F102" si="107">SUM(499535*80%)</f>
        <v>399628</v>
      </c>
      <c r="G102" s="423">
        <f t="shared" si="73"/>
        <v>3996.28</v>
      </c>
      <c r="H102" s="423">
        <f t="shared" si="74"/>
        <v>395631.72</v>
      </c>
      <c r="I102" s="423">
        <f t="shared" ref="I102" si="108">SUM(H102*60%)</f>
        <v>237379.03199999998</v>
      </c>
      <c r="J102" s="425">
        <f>SUM('PK PNS'!I100:I101)</f>
        <v>1</v>
      </c>
      <c r="K102" s="423">
        <f t="shared" si="76"/>
        <v>237379.03199999998</v>
      </c>
      <c r="L102" s="423">
        <f t="shared" ref="L102" si="109">SUM(H102*40%)</f>
        <v>158252.68799999999</v>
      </c>
      <c r="M102" s="423">
        <f>SUM(L102*Tabel_Perhitungan!AB102)</f>
        <v>0</v>
      </c>
      <c r="N102" s="423">
        <f t="shared" si="78"/>
        <v>158252.68799999999</v>
      </c>
      <c r="O102" s="423">
        <f t="shared" si="79"/>
        <v>395631.72</v>
      </c>
      <c r="P102" s="430">
        <v>0.05</v>
      </c>
      <c r="Q102" s="423">
        <f t="shared" si="80"/>
        <v>19781.585999999999</v>
      </c>
      <c r="R102" s="423">
        <f t="shared" si="81"/>
        <v>375850.13399999996</v>
      </c>
      <c r="S102" s="82">
        <v>46</v>
      </c>
      <c r="T102" s="427"/>
      <c r="U102" s="427"/>
      <c r="V102" s="172"/>
      <c r="W102" s="4"/>
    </row>
    <row r="103" spans="1:23" ht="15" customHeight="1" x14ac:dyDescent="0.25">
      <c r="A103" s="101"/>
      <c r="B103" s="191" t="s">
        <v>430</v>
      </c>
      <c r="C103" s="354"/>
      <c r="D103" s="352"/>
      <c r="E103" s="429"/>
      <c r="F103" s="424"/>
      <c r="G103" s="424"/>
      <c r="H103" s="424"/>
      <c r="I103" s="424"/>
      <c r="J103" s="426"/>
      <c r="K103" s="424"/>
      <c r="L103" s="424"/>
      <c r="M103" s="424"/>
      <c r="N103" s="424"/>
      <c r="O103" s="424"/>
      <c r="P103" s="431"/>
      <c r="Q103" s="424"/>
      <c r="R103" s="424"/>
      <c r="S103" s="83"/>
      <c r="T103" s="427"/>
      <c r="U103" s="427"/>
      <c r="V103" s="172"/>
      <c r="W103" s="4"/>
    </row>
    <row r="104" spans="1:23" ht="14.1" customHeight="1" x14ac:dyDescent="0.25">
      <c r="A104" s="134">
        <v>47</v>
      </c>
      <c r="B104" s="190" t="s">
        <v>364</v>
      </c>
      <c r="C104" s="353" t="s">
        <v>365</v>
      </c>
      <c r="D104" s="351" t="s">
        <v>354</v>
      </c>
      <c r="E104" s="428">
        <f>SUM('PK PNS'!E102:E103)</f>
        <v>7320</v>
      </c>
      <c r="F104" s="423">
        <f t="shared" ref="F104" si="110">SUM(499535*80%)</f>
        <v>399628</v>
      </c>
      <c r="G104" s="423">
        <f t="shared" si="73"/>
        <v>3996.28</v>
      </c>
      <c r="H104" s="423">
        <f t="shared" si="74"/>
        <v>395631.72</v>
      </c>
      <c r="I104" s="423">
        <f t="shared" ref="I104" si="111">SUM(H104*60%)</f>
        <v>237379.03199999998</v>
      </c>
      <c r="J104" s="425">
        <f>SUM('PK PNS'!I102:I103)</f>
        <v>1</v>
      </c>
      <c r="K104" s="423">
        <f t="shared" si="76"/>
        <v>237379.03199999998</v>
      </c>
      <c r="L104" s="423">
        <f t="shared" ref="L104" si="112">SUM(H104*40%)</f>
        <v>158252.68799999999</v>
      </c>
      <c r="M104" s="423">
        <f>SUM(L104*Tabel_Perhitungan!AB104)</f>
        <v>0</v>
      </c>
      <c r="N104" s="423">
        <f t="shared" si="78"/>
        <v>158252.68799999999</v>
      </c>
      <c r="O104" s="423">
        <f t="shared" si="79"/>
        <v>395631.72</v>
      </c>
      <c r="P104" s="430">
        <v>0.05</v>
      </c>
      <c r="Q104" s="423">
        <f t="shared" si="80"/>
        <v>19781.585999999999</v>
      </c>
      <c r="R104" s="423">
        <f t="shared" si="81"/>
        <v>375850.13399999996</v>
      </c>
      <c r="S104" s="82">
        <v>47</v>
      </c>
      <c r="T104" s="427"/>
      <c r="U104" s="427"/>
      <c r="V104" s="172"/>
      <c r="W104" s="4"/>
    </row>
    <row r="105" spans="1:23" ht="14.1" customHeight="1" x14ac:dyDescent="0.25">
      <c r="A105" s="101"/>
      <c r="B105" s="192" t="s">
        <v>431</v>
      </c>
      <c r="C105" s="354"/>
      <c r="D105" s="352"/>
      <c r="E105" s="429"/>
      <c r="F105" s="424"/>
      <c r="G105" s="424"/>
      <c r="H105" s="424"/>
      <c r="I105" s="424"/>
      <c r="J105" s="426"/>
      <c r="K105" s="424"/>
      <c r="L105" s="424"/>
      <c r="M105" s="424"/>
      <c r="N105" s="424"/>
      <c r="O105" s="424"/>
      <c r="P105" s="431"/>
      <c r="Q105" s="424"/>
      <c r="R105" s="424"/>
      <c r="S105" s="83"/>
      <c r="T105" s="427"/>
      <c r="U105" s="427"/>
      <c r="V105" s="172"/>
      <c r="W105" s="4"/>
    </row>
    <row r="106" spans="1:23" ht="14.1" customHeight="1" x14ac:dyDescent="0.25">
      <c r="A106" s="134">
        <v>48</v>
      </c>
      <c r="B106" s="190" t="s">
        <v>358</v>
      </c>
      <c r="C106" s="353" t="s">
        <v>365</v>
      </c>
      <c r="D106" s="355" t="s">
        <v>359</v>
      </c>
      <c r="E106" s="428">
        <f>SUM('PK PNS'!E104:E105)</f>
        <v>6990</v>
      </c>
      <c r="F106" s="423">
        <f t="shared" ref="F106" si="113">SUM(499535*80%)</f>
        <v>399628</v>
      </c>
      <c r="G106" s="423">
        <f t="shared" si="73"/>
        <v>3996.28</v>
      </c>
      <c r="H106" s="423">
        <f t="shared" si="74"/>
        <v>395631.72</v>
      </c>
      <c r="I106" s="423">
        <f t="shared" ref="I106" si="114">SUM(H106*60%)</f>
        <v>237379.03199999998</v>
      </c>
      <c r="J106" s="425">
        <f>SUM('PK PNS'!I104:I105)</f>
        <v>1</v>
      </c>
      <c r="K106" s="423">
        <f t="shared" si="76"/>
        <v>237379.03199999998</v>
      </c>
      <c r="L106" s="423">
        <f t="shared" ref="L106" si="115">SUM(H106*40%)</f>
        <v>158252.68799999999</v>
      </c>
      <c r="M106" s="423">
        <f>SUM(L106*Tabel_Perhitungan!AB106)</f>
        <v>2769.4220400000004</v>
      </c>
      <c r="N106" s="423">
        <f t="shared" si="78"/>
        <v>155483.26595999999</v>
      </c>
      <c r="O106" s="423">
        <f t="shared" si="79"/>
        <v>392862.29796</v>
      </c>
      <c r="P106" s="430">
        <v>0.05</v>
      </c>
      <c r="Q106" s="423">
        <f t="shared" si="80"/>
        <v>19643.114898</v>
      </c>
      <c r="R106" s="423">
        <f t="shared" si="81"/>
        <v>373219.18306199997</v>
      </c>
      <c r="S106" s="82">
        <v>48</v>
      </c>
      <c r="T106" s="427"/>
      <c r="U106" s="427"/>
      <c r="V106" s="172"/>
      <c r="W106" s="4"/>
    </row>
    <row r="107" spans="1:23" ht="14.1" customHeight="1" x14ac:dyDescent="0.25">
      <c r="A107" s="101"/>
      <c r="B107" s="191" t="s">
        <v>432</v>
      </c>
      <c r="C107" s="354"/>
      <c r="D107" s="356"/>
      <c r="E107" s="429"/>
      <c r="F107" s="424"/>
      <c r="G107" s="424"/>
      <c r="H107" s="424"/>
      <c r="I107" s="424"/>
      <c r="J107" s="426"/>
      <c r="K107" s="424"/>
      <c r="L107" s="424"/>
      <c r="M107" s="424"/>
      <c r="N107" s="424"/>
      <c r="O107" s="424"/>
      <c r="P107" s="431"/>
      <c r="Q107" s="424"/>
      <c r="R107" s="424"/>
      <c r="S107" s="83"/>
      <c r="T107" s="427"/>
      <c r="U107" s="427"/>
      <c r="V107" s="172"/>
      <c r="W107" s="4"/>
    </row>
    <row r="108" spans="1:23" ht="14.1" customHeight="1" x14ac:dyDescent="0.25">
      <c r="A108" s="134">
        <v>49</v>
      </c>
      <c r="B108" s="190" t="s">
        <v>362</v>
      </c>
      <c r="C108" s="353" t="s">
        <v>365</v>
      </c>
      <c r="D108" s="355" t="s">
        <v>359</v>
      </c>
      <c r="E108" s="428">
        <f>SUM('PK PNS'!E106:E107)</f>
        <v>7040</v>
      </c>
      <c r="F108" s="423">
        <f t="shared" ref="F108" si="116">SUM(499535*80%)</f>
        <v>399628</v>
      </c>
      <c r="G108" s="423">
        <f t="shared" si="73"/>
        <v>3996.28</v>
      </c>
      <c r="H108" s="423">
        <f t="shared" si="74"/>
        <v>395631.72</v>
      </c>
      <c r="I108" s="423">
        <f t="shared" ref="I108" si="117">SUM(H108*60%)</f>
        <v>237379.03199999998</v>
      </c>
      <c r="J108" s="425">
        <f>SUM('PK PNS'!I106:I107)</f>
        <v>1</v>
      </c>
      <c r="K108" s="423">
        <f t="shared" si="76"/>
        <v>237379.03199999998</v>
      </c>
      <c r="L108" s="423">
        <f t="shared" ref="L108" si="118">SUM(H108*40%)</f>
        <v>158252.68799999999</v>
      </c>
      <c r="M108" s="423">
        <f>SUM(L108*Tabel_Perhitungan!AB108)</f>
        <v>0</v>
      </c>
      <c r="N108" s="423">
        <f t="shared" si="78"/>
        <v>158252.68799999999</v>
      </c>
      <c r="O108" s="423">
        <f t="shared" si="79"/>
        <v>395631.72</v>
      </c>
      <c r="P108" s="425">
        <v>0.05</v>
      </c>
      <c r="Q108" s="423">
        <f t="shared" si="80"/>
        <v>19781.585999999999</v>
      </c>
      <c r="R108" s="423">
        <f t="shared" si="81"/>
        <v>375850.13399999996</v>
      </c>
      <c r="S108" s="82">
        <v>49</v>
      </c>
      <c r="T108" s="427"/>
      <c r="U108" s="427"/>
      <c r="V108" s="172"/>
      <c r="W108" s="4"/>
    </row>
    <row r="109" spans="1:23" ht="14.1" customHeight="1" x14ac:dyDescent="0.25">
      <c r="A109" s="101"/>
      <c r="B109" s="191" t="s">
        <v>433</v>
      </c>
      <c r="C109" s="354"/>
      <c r="D109" s="356"/>
      <c r="E109" s="429"/>
      <c r="F109" s="424"/>
      <c r="G109" s="424"/>
      <c r="H109" s="424"/>
      <c r="I109" s="424"/>
      <c r="J109" s="426"/>
      <c r="K109" s="424"/>
      <c r="L109" s="424"/>
      <c r="M109" s="424"/>
      <c r="N109" s="424"/>
      <c r="O109" s="424"/>
      <c r="P109" s="424"/>
      <c r="Q109" s="424"/>
      <c r="R109" s="424"/>
      <c r="S109" s="83"/>
      <c r="T109" s="427"/>
      <c r="U109" s="427"/>
      <c r="V109" s="172"/>
      <c r="W109" s="4"/>
    </row>
    <row r="110" spans="1:23" ht="14.1" customHeight="1" x14ac:dyDescent="0.25">
      <c r="A110" s="134">
        <v>50</v>
      </c>
      <c r="B110" s="199" t="s">
        <v>366</v>
      </c>
      <c r="C110" s="353" t="s">
        <v>365</v>
      </c>
      <c r="D110" s="355" t="s">
        <v>359</v>
      </c>
      <c r="E110" s="428">
        <f>SUM('PK PNS'!E108:E109)</f>
        <v>6940</v>
      </c>
      <c r="F110" s="423">
        <f t="shared" ref="F110" si="119">SUM(499535*80%)</f>
        <v>399628</v>
      </c>
      <c r="G110" s="423">
        <f t="shared" si="73"/>
        <v>3996.28</v>
      </c>
      <c r="H110" s="423">
        <f t="shared" si="74"/>
        <v>395631.72</v>
      </c>
      <c r="I110" s="423">
        <f t="shared" ref="I110" si="120">SUM(H110*60%)</f>
        <v>237379.03199999998</v>
      </c>
      <c r="J110" s="425">
        <f>SUM('PK PNS'!I108:I109)</f>
        <v>1</v>
      </c>
      <c r="K110" s="423">
        <f t="shared" si="76"/>
        <v>237379.03199999998</v>
      </c>
      <c r="L110" s="423">
        <f t="shared" ref="L110" si="121">SUM(H110*40%)</f>
        <v>158252.68799999999</v>
      </c>
      <c r="M110" s="423">
        <f>SUM(L110*Tabel_Perhitungan!AB110)</f>
        <v>0</v>
      </c>
      <c r="N110" s="423">
        <f t="shared" si="78"/>
        <v>158252.68799999999</v>
      </c>
      <c r="O110" s="423">
        <f t="shared" si="79"/>
        <v>395631.72</v>
      </c>
      <c r="P110" s="425">
        <v>0.05</v>
      </c>
      <c r="Q110" s="423">
        <f t="shared" si="80"/>
        <v>19781.585999999999</v>
      </c>
      <c r="R110" s="423">
        <f t="shared" si="81"/>
        <v>375850.13399999996</v>
      </c>
      <c r="S110" s="82">
        <v>50</v>
      </c>
      <c r="T110" s="427"/>
      <c r="U110" s="427"/>
      <c r="V110" s="172"/>
      <c r="W110" s="4"/>
    </row>
    <row r="111" spans="1:23" ht="14.1" customHeight="1" x14ac:dyDescent="0.25">
      <c r="A111" s="101"/>
      <c r="B111" s="200" t="s">
        <v>434</v>
      </c>
      <c r="C111" s="354"/>
      <c r="D111" s="356"/>
      <c r="E111" s="429"/>
      <c r="F111" s="424"/>
      <c r="G111" s="424"/>
      <c r="H111" s="424"/>
      <c r="I111" s="424"/>
      <c r="J111" s="426"/>
      <c r="K111" s="424"/>
      <c r="L111" s="424"/>
      <c r="M111" s="424"/>
      <c r="N111" s="424"/>
      <c r="O111" s="424"/>
      <c r="P111" s="424"/>
      <c r="Q111" s="424"/>
      <c r="R111" s="424"/>
      <c r="S111" s="83"/>
      <c r="T111" s="427"/>
      <c r="U111" s="427"/>
      <c r="V111" s="172"/>
      <c r="W111" s="4"/>
    </row>
    <row r="112" spans="1:23" ht="14.1" customHeight="1" x14ac:dyDescent="0.25">
      <c r="A112" s="134">
        <v>51</v>
      </c>
      <c r="B112" s="190" t="s">
        <v>367</v>
      </c>
      <c r="C112" s="353" t="s">
        <v>365</v>
      </c>
      <c r="D112" s="355" t="s">
        <v>359</v>
      </c>
      <c r="E112" s="428">
        <f>SUM('PK PNS'!E110:E111)</f>
        <v>7760</v>
      </c>
      <c r="F112" s="423">
        <f t="shared" ref="F112" si="122">SUM(499535*80%)</f>
        <v>399628</v>
      </c>
      <c r="G112" s="423">
        <f t="shared" si="73"/>
        <v>3996.28</v>
      </c>
      <c r="H112" s="423">
        <f t="shared" si="74"/>
        <v>395631.72</v>
      </c>
      <c r="I112" s="423">
        <f t="shared" ref="I112" si="123">SUM(H112*60%)</f>
        <v>237379.03199999998</v>
      </c>
      <c r="J112" s="425">
        <f>SUM('PK PNS'!I110:I111)</f>
        <v>1</v>
      </c>
      <c r="K112" s="423">
        <f t="shared" si="76"/>
        <v>237379.03199999998</v>
      </c>
      <c r="L112" s="423">
        <f t="shared" ref="L112" si="124">SUM(H112*40%)</f>
        <v>158252.68799999999</v>
      </c>
      <c r="M112" s="423">
        <f>SUM(L112*Tabel_Perhitungan!AB112)</f>
        <v>0</v>
      </c>
      <c r="N112" s="423">
        <f t="shared" si="78"/>
        <v>158252.68799999999</v>
      </c>
      <c r="O112" s="423">
        <f t="shared" si="79"/>
        <v>395631.72</v>
      </c>
      <c r="P112" s="425">
        <v>0.05</v>
      </c>
      <c r="Q112" s="423">
        <f t="shared" si="80"/>
        <v>19781.585999999999</v>
      </c>
      <c r="R112" s="423">
        <f t="shared" si="81"/>
        <v>375850.13399999996</v>
      </c>
      <c r="S112" s="82">
        <v>51</v>
      </c>
      <c r="T112" s="427"/>
      <c r="U112" s="427"/>
      <c r="V112" s="172"/>
      <c r="W112" s="4"/>
    </row>
    <row r="113" spans="1:26" ht="14.1" customHeight="1" x14ac:dyDescent="0.25">
      <c r="A113" s="101"/>
      <c r="B113" s="191" t="s">
        <v>435</v>
      </c>
      <c r="C113" s="354"/>
      <c r="D113" s="356"/>
      <c r="E113" s="429"/>
      <c r="F113" s="424"/>
      <c r="G113" s="424"/>
      <c r="H113" s="424"/>
      <c r="I113" s="424"/>
      <c r="J113" s="426"/>
      <c r="K113" s="424"/>
      <c r="L113" s="424"/>
      <c r="M113" s="424"/>
      <c r="N113" s="424"/>
      <c r="O113" s="424"/>
      <c r="P113" s="424"/>
      <c r="Q113" s="424"/>
      <c r="R113" s="424"/>
      <c r="S113" s="83"/>
      <c r="T113" s="427"/>
      <c r="U113" s="427"/>
      <c r="V113" s="172"/>
      <c r="W113" s="4"/>
    </row>
    <row r="114" spans="1:26" ht="14.1" customHeight="1" x14ac:dyDescent="0.25">
      <c r="A114" s="134">
        <v>52</v>
      </c>
      <c r="B114" s="190" t="s">
        <v>368</v>
      </c>
      <c r="C114" s="353" t="s">
        <v>365</v>
      </c>
      <c r="D114" s="355" t="s">
        <v>359</v>
      </c>
      <c r="E114" s="428">
        <f>SUM('PK PNS'!E112:E113)</f>
        <v>7660</v>
      </c>
      <c r="F114" s="423">
        <f t="shared" ref="F114" si="125">SUM(499535*80%)</f>
        <v>399628</v>
      </c>
      <c r="G114" s="423">
        <f t="shared" si="73"/>
        <v>3996.28</v>
      </c>
      <c r="H114" s="423">
        <f t="shared" si="74"/>
        <v>395631.72</v>
      </c>
      <c r="I114" s="423">
        <f t="shared" ref="I114" si="126">SUM(H114*60%)</f>
        <v>237379.03199999998</v>
      </c>
      <c r="J114" s="425">
        <f>SUM('PK PNS'!I112:I113)</f>
        <v>1</v>
      </c>
      <c r="K114" s="423">
        <f t="shared" si="76"/>
        <v>237379.03199999998</v>
      </c>
      <c r="L114" s="423">
        <f t="shared" ref="L114" si="127">SUM(H114*40%)</f>
        <v>158252.68799999999</v>
      </c>
      <c r="M114" s="423">
        <f>SUM(L114*Tabel_Perhitungan!AB114)</f>
        <v>0</v>
      </c>
      <c r="N114" s="423">
        <f t="shared" si="78"/>
        <v>158252.68799999999</v>
      </c>
      <c r="O114" s="423">
        <f t="shared" si="79"/>
        <v>395631.72</v>
      </c>
      <c r="P114" s="425">
        <v>0.05</v>
      </c>
      <c r="Q114" s="423">
        <f t="shared" si="80"/>
        <v>19781.585999999999</v>
      </c>
      <c r="R114" s="423">
        <f t="shared" si="81"/>
        <v>375850.13399999996</v>
      </c>
      <c r="S114" s="82">
        <v>52</v>
      </c>
      <c r="T114" s="427"/>
      <c r="U114" s="427"/>
      <c r="V114" s="172"/>
      <c r="W114" s="4"/>
    </row>
    <row r="115" spans="1:26" ht="14.1" customHeight="1" x14ac:dyDescent="0.25">
      <c r="A115" s="101"/>
      <c r="B115" s="191" t="s">
        <v>436</v>
      </c>
      <c r="C115" s="354"/>
      <c r="D115" s="356"/>
      <c r="E115" s="429"/>
      <c r="F115" s="424"/>
      <c r="G115" s="424"/>
      <c r="H115" s="424"/>
      <c r="I115" s="424"/>
      <c r="J115" s="426"/>
      <c r="K115" s="424"/>
      <c r="L115" s="424"/>
      <c r="M115" s="424"/>
      <c r="N115" s="424"/>
      <c r="O115" s="424"/>
      <c r="P115" s="424"/>
      <c r="Q115" s="424"/>
      <c r="R115" s="424"/>
      <c r="S115" s="83"/>
      <c r="T115" s="427"/>
      <c r="U115" s="427"/>
      <c r="V115" s="172"/>
      <c r="W115" s="4"/>
    </row>
    <row r="116" spans="1:26" ht="14.1" customHeight="1" x14ac:dyDescent="0.25">
      <c r="A116" s="282">
        <v>53</v>
      </c>
      <c r="B116" s="190" t="s">
        <v>369</v>
      </c>
      <c r="C116" s="353" t="s">
        <v>365</v>
      </c>
      <c r="D116" s="355" t="s">
        <v>359</v>
      </c>
      <c r="E116" s="428">
        <f>SUM('PK PNS'!E114:E115)</f>
        <v>7364</v>
      </c>
      <c r="F116" s="423">
        <f t="shared" ref="F116" si="128">SUM(499535*80%)</f>
        <v>399628</v>
      </c>
      <c r="G116" s="423">
        <f t="shared" si="73"/>
        <v>3996.28</v>
      </c>
      <c r="H116" s="423">
        <f t="shared" si="74"/>
        <v>395631.72</v>
      </c>
      <c r="I116" s="423">
        <f t="shared" ref="I116" si="129">SUM(H116*60%)</f>
        <v>237379.03199999998</v>
      </c>
      <c r="J116" s="425">
        <f>SUM('PK PNS'!I114:I115)</f>
        <v>1</v>
      </c>
      <c r="K116" s="423">
        <f t="shared" si="76"/>
        <v>237379.03199999998</v>
      </c>
      <c r="L116" s="423">
        <f t="shared" ref="L116" si="130">SUM(H116*40%)</f>
        <v>158252.68799999999</v>
      </c>
      <c r="M116" s="423">
        <f>SUM(L116*Tabel_Perhitungan!AB116)</f>
        <v>2373.7903199999996</v>
      </c>
      <c r="N116" s="423">
        <f t="shared" si="78"/>
        <v>155878.89767999999</v>
      </c>
      <c r="O116" s="423">
        <f t="shared" si="79"/>
        <v>393257.92967999994</v>
      </c>
      <c r="P116" s="425">
        <v>0.05</v>
      </c>
      <c r="Q116" s="423">
        <f t="shared" si="80"/>
        <v>19662.896483999997</v>
      </c>
      <c r="R116" s="423">
        <f t="shared" si="81"/>
        <v>373595.03319599992</v>
      </c>
      <c r="S116" s="245">
        <v>53</v>
      </c>
      <c r="T116" s="427"/>
      <c r="U116" s="427"/>
      <c r="V116" s="172"/>
      <c r="W116" s="4"/>
    </row>
    <row r="117" spans="1:26" ht="14.1" customHeight="1" x14ac:dyDescent="0.25">
      <c r="A117" s="193"/>
      <c r="B117" s="191" t="s">
        <v>437</v>
      </c>
      <c r="C117" s="354"/>
      <c r="D117" s="356"/>
      <c r="E117" s="429"/>
      <c r="F117" s="424"/>
      <c r="G117" s="424"/>
      <c r="H117" s="424"/>
      <c r="I117" s="424"/>
      <c r="J117" s="426"/>
      <c r="K117" s="424"/>
      <c r="L117" s="424"/>
      <c r="M117" s="424"/>
      <c r="N117" s="424"/>
      <c r="O117" s="424"/>
      <c r="P117" s="424"/>
      <c r="Q117" s="424"/>
      <c r="R117" s="424"/>
      <c r="S117" s="246"/>
      <c r="T117" s="427"/>
      <c r="U117" s="427"/>
      <c r="V117" s="172"/>
      <c r="W117" s="4"/>
    </row>
    <row r="118" spans="1:26" ht="19.5" customHeight="1" x14ac:dyDescent="0.25">
      <c r="A118" s="282">
        <v>54</v>
      </c>
      <c r="B118" s="190" t="s">
        <v>360</v>
      </c>
      <c r="C118" s="353" t="s">
        <v>365</v>
      </c>
      <c r="D118" s="351" t="s">
        <v>361</v>
      </c>
      <c r="E118" s="428">
        <f>SUM('PK PNS'!E116:E117)</f>
        <v>6870</v>
      </c>
      <c r="F118" s="423">
        <f t="shared" ref="F118" si="131">SUM(499535*80%)</f>
        <v>399628</v>
      </c>
      <c r="G118" s="423">
        <f t="shared" si="73"/>
        <v>3996.28</v>
      </c>
      <c r="H118" s="423">
        <f t="shared" si="74"/>
        <v>395631.72</v>
      </c>
      <c r="I118" s="423">
        <f t="shared" ref="I118" si="132">SUM(H118*60%)</f>
        <v>237379.03199999998</v>
      </c>
      <c r="J118" s="425">
        <f>SUM('PK PNS'!I116:I117)</f>
        <v>1</v>
      </c>
      <c r="K118" s="423">
        <f t="shared" si="76"/>
        <v>237379.03199999998</v>
      </c>
      <c r="L118" s="423">
        <f t="shared" ref="L118" si="133">SUM(H118*40%)</f>
        <v>158252.68799999999</v>
      </c>
      <c r="M118" s="423">
        <f>SUM(L118*Tabel_Perhitungan!AB118)</f>
        <v>0</v>
      </c>
      <c r="N118" s="423">
        <f t="shared" si="78"/>
        <v>158252.68799999999</v>
      </c>
      <c r="O118" s="423">
        <f t="shared" si="79"/>
        <v>395631.72</v>
      </c>
      <c r="P118" s="425">
        <v>0.05</v>
      </c>
      <c r="Q118" s="423">
        <f t="shared" si="80"/>
        <v>19781.585999999999</v>
      </c>
      <c r="R118" s="423">
        <f t="shared" si="81"/>
        <v>375850.13399999996</v>
      </c>
      <c r="S118" s="245">
        <v>54</v>
      </c>
      <c r="T118" s="427"/>
      <c r="U118" s="427"/>
      <c r="V118" s="172"/>
      <c r="W118" s="4"/>
    </row>
    <row r="119" spans="1:26" ht="19.5" customHeight="1" x14ac:dyDescent="0.25">
      <c r="A119" s="193"/>
      <c r="B119" s="191" t="s">
        <v>438</v>
      </c>
      <c r="C119" s="354"/>
      <c r="D119" s="352"/>
      <c r="E119" s="429"/>
      <c r="F119" s="424"/>
      <c r="G119" s="424"/>
      <c r="H119" s="424"/>
      <c r="I119" s="424"/>
      <c r="J119" s="426"/>
      <c r="K119" s="424"/>
      <c r="L119" s="424"/>
      <c r="M119" s="424"/>
      <c r="N119" s="424"/>
      <c r="O119" s="424"/>
      <c r="P119" s="424"/>
      <c r="Q119" s="424"/>
      <c r="R119" s="424"/>
      <c r="S119" s="246"/>
      <c r="T119" s="427"/>
      <c r="U119" s="427"/>
      <c r="V119" s="172"/>
      <c r="W119" s="4"/>
    </row>
    <row r="120" spans="1:26" ht="19.5" customHeight="1" x14ac:dyDescent="0.25">
      <c r="A120" s="193"/>
      <c r="B120" s="433" t="s">
        <v>8</v>
      </c>
      <c r="C120" s="434"/>
      <c r="D120" s="434"/>
      <c r="E120" s="306"/>
      <c r="F120" s="195">
        <f>SUM(F12:F119)</f>
        <v>28681098</v>
      </c>
      <c r="G120" s="196">
        <f>SUM(G12:G119)</f>
        <v>286810.98000000027</v>
      </c>
      <c r="H120" s="196">
        <f>SUM(H12:H119)</f>
        <v>28394287.019999973</v>
      </c>
      <c r="I120" s="195">
        <f>SUM(I12:I119)</f>
        <v>17036572.211999994</v>
      </c>
      <c r="J120" s="197"/>
      <c r="K120" s="195">
        <f>SUM(K12:K119)</f>
        <v>17036572.211999994</v>
      </c>
      <c r="L120" s="195">
        <f>SUM(L12:L119)</f>
        <v>11357714.807999989</v>
      </c>
      <c r="M120" s="195">
        <f>SUM(M12:M119)</f>
        <v>246762.23913000006</v>
      </c>
      <c r="N120" s="196">
        <f>SUM(N12:N119)</f>
        <v>11110952.568869991</v>
      </c>
      <c r="O120" s="196">
        <f>SUM(O12:O119)</f>
        <v>28147524.780869976</v>
      </c>
      <c r="P120" s="435">
        <f>SUM(Q12:Q119)</f>
        <v>2195091.3895515003</v>
      </c>
      <c r="Q120" s="436"/>
      <c r="R120" s="195">
        <f>SUM(R12:R119)</f>
        <v>25952433.391318489</v>
      </c>
      <c r="S120" s="193"/>
      <c r="T120" s="427"/>
      <c r="U120" s="427"/>
      <c r="V120" s="172"/>
      <c r="W120" s="4"/>
    </row>
    <row r="121" spans="1:26" ht="19.5" customHeight="1" x14ac:dyDescent="0.25">
      <c r="C121" s="5"/>
      <c r="D121" s="4"/>
      <c r="F121" s="53"/>
      <c r="G121" s="48"/>
      <c r="H121" s="48"/>
      <c r="I121" s="4"/>
      <c r="J121" s="4"/>
      <c r="K121" s="4"/>
      <c r="L121" s="4"/>
      <c r="M121" s="4"/>
      <c r="N121" s="4"/>
      <c r="O121" s="4"/>
      <c r="P121" s="4"/>
      <c r="Q121" s="4"/>
      <c r="R121" s="72"/>
      <c r="S121" s="22"/>
      <c r="T121" s="427"/>
      <c r="U121" s="427"/>
      <c r="V121" s="172"/>
      <c r="W121" s="4"/>
    </row>
    <row r="122" spans="1:26" ht="16.5" customHeight="1" x14ac:dyDescent="0.25">
      <c r="F122" s="48"/>
      <c r="G122" s="171"/>
      <c r="H122" s="49"/>
      <c r="I122" s="71"/>
      <c r="M122" s="79"/>
      <c r="O122" s="68"/>
      <c r="R122" s="29"/>
      <c r="S122" s="23"/>
      <c r="T122" s="427"/>
      <c r="U122" s="427"/>
      <c r="V122" s="172"/>
      <c r="W122" s="4"/>
    </row>
    <row r="123" spans="1:26" ht="16.5" customHeight="1" x14ac:dyDescent="0.25">
      <c r="C123" s="8"/>
      <c r="F123" s="186"/>
      <c r="G123" s="8"/>
      <c r="H123" s="186"/>
      <c r="N123" s="15"/>
      <c r="O123" s="146" t="s">
        <v>532</v>
      </c>
      <c r="P123" s="146"/>
      <c r="Q123" s="146"/>
      <c r="R123" s="146"/>
      <c r="S123" s="146"/>
      <c r="T123" s="161"/>
      <c r="U123" s="427"/>
      <c r="V123" s="172"/>
      <c r="W123" s="4"/>
    </row>
    <row r="124" spans="1:26" ht="16.5" customHeight="1" x14ac:dyDescent="0.25">
      <c r="C124" s="8"/>
      <c r="F124" s="186"/>
      <c r="G124" s="8"/>
      <c r="H124" s="186"/>
      <c r="N124" s="15"/>
      <c r="O124" s="146"/>
      <c r="P124" s="146"/>
      <c r="Q124" s="15"/>
      <c r="R124" s="146"/>
      <c r="S124" s="15"/>
      <c r="T124" s="161"/>
      <c r="U124" s="427"/>
      <c r="V124" s="172"/>
      <c r="W124" s="4"/>
    </row>
    <row r="125" spans="1:26" ht="15.75" customHeight="1" x14ac:dyDescent="0.25">
      <c r="C125" s="8"/>
      <c r="F125" s="186"/>
      <c r="G125" s="188"/>
      <c r="H125" s="186"/>
      <c r="N125" s="21"/>
      <c r="O125" s="100" t="s">
        <v>440</v>
      </c>
      <c r="P125" s="100"/>
      <c r="Q125" s="21"/>
      <c r="R125" s="146"/>
      <c r="S125" s="15"/>
      <c r="T125" s="23"/>
      <c r="U125" s="23"/>
      <c r="V125" s="172"/>
      <c r="W125" s="4"/>
    </row>
    <row r="126" spans="1:26" ht="18" customHeight="1" x14ac:dyDescent="0.25">
      <c r="C126" s="8"/>
      <c r="F126" s="186"/>
      <c r="G126" s="188"/>
      <c r="H126" s="186"/>
      <c r="N126" s="15"/>
      <c r="O126" s="100" t="s">
        <v>441</v>
      </c>
      <c r="P126" s="100"/>
      <c r="Q126" s="15"/>
      <c r="R126" s="146"/>
      <c r="S126" s="15"/>
      <c r="T126" s="29"/>
      <c r="U126" s="23"/>
      <c r="Z126" s="63"/>
    </row>
    <row r="127" spans="1:26" ht="15" customHeight="1" x14ac:dyDescent="0.25">
      <c r="C127" s="8"/>
      <c r="F127" s="186"/>
      <c r="G127" s="188"/>
      <c r="H127" s="186"/>
      <c r="N127" s="15"/>
      <c r="O127" s="100"/>
      <c r="P127" s="100"/>
      <c r="Q127" s="15"/>
      <c r="R127" s="140"/>
      <c r="S127" s="15"/>
      <c r="T127" s="29"/>
      <c r="U127" s="29"/>
    </row>
    <row r="128" spans="1:26" ht="15.75" customHeight="1" x14ac:dyDescent="0.25">
      <c r="C128" s="8"/>
      <c r="F128" s="186"/>
      <c r="G128" s="188"/>
      <c r="H128" s="186"/>
      <c r="N128" s="15"/>
      <c r="O128" s="100"/>
      <c r="P128" s="100"/>
      <c r="Q128" s="15"/>
      <c r="R128" s="140"/>
      <c r="S128" s="15"/>
      <c r="T128" s="146"/>
      <c r="Y128" s="63"/>
    </row>
    <row r="129" spans="2:25" ht="15.75" customHeight="1" x14ac:dyDescent="0.25">
      <c r="C129" s="8"/>
      <c r="F129" s="186"/>
      <c r="G129" s="188"/>
      <c r="H129" s="188"/>
      <c r="N129" s="15"/>
      <c r="O129" s="100"/>
      <c r="P129" s="100"/>
      <c r="Q129" s="15"/>
      <c r="R129" s="140"/>
      <c r="S129" s="15"/>
      <c r="U129" s="29"/>
      <c r="V129" s="29"/>
      <c r="W129" s="29"/>
      <c r="X129" s="29"/>
      <c r="Y129" s="29"/>
    </row>
    <row r="130" spans="2:25" ht="15.75" customHeight="1" x14ac:dyDescent="0.25">
      <c r="C130" s="8"/>
      <c r="F130" s="186"/>
      <c r="G130" s="188"/>
      <c r="H130" s="188"/>
      <c r="N130" s="15"/>
      <c r="O130" s="336" t="s">
        <v>465</v>
      </c>
      <c r="P130" s="336"/>
      <c r="Q130" s="336"/>
      <c r="R130" s="336"/>
      <c r="S130" s="336"/>
      <c r="W130" s="29"/>
      <c r="Y130" s="29"/>
    </row>
    <row r="131" spans="2:25" ht="16.5" customHeight="1" x14ac:dyDescent="0.25">
      <c r="C131" s="8"/>
      <c r="F131" s="186"/>
      <c r="G131" s="188"/>
      <c r="H131" s="188"/>
      <c r="I131" s="188"/>
      <c r="N131" s="15"/>
      <c r="O131" s="100" t="s">
        <v>93</v>
      </c>
      <c r="P131" s="100" t="s">
        <v>338</v>
      </c>
      <c r="Q131" s="15"/>
      <c r="R131" s="146"/>
      <c r="S131" s="15"/>
      <c r="U131" s="29"/>
      <c r="V131" s="29"/>
      <c r="W131" s="29"/>
      <c r="X131" s="29"/>
      <c r="Y131" s="29"/>
    </row>
    <row r="132" spans="2:25" ht="15.75" customHeight="1" x14ac:dyDescent="0.25">
      <c r="C132" s="8"/>
      <c r="D132" s="188"/>
      <c r="E132" s="188"/>
      <c r="F132" s="188"/>
      <c r="G132" s="188"/>
      <c r="H132" s="188"/>
      <c r="I132" s="188"/>
      <c r="N132" s="15"/>
      <c r="O132" s="100" t="s">
        <v>94</v>
      </c>
      <c r="P132" s="100" t="s">
        <v>442</v>
      </c>
      <c r="Q132" s="15"/>
      <c r="R132" s="146"/>
      <c r="S132" s="15"/>
      <c r="W132" s="29"/>
      <c r="Y132" s="29"/>
    </row>
    <row r="133" spans="2:25" ht="15.75" customHeight="1" x14ac:dyDescent="0.25">
      <c r="C133" s="8"/>
      <c r="F133" s="186"/>
      <c r="G133" s="8"/>
      <c r="H133" s="186"/>
      <c r="I133" s="188"/>
      <c r="U133" s="29"/>
      <c r="V133" s="29"/>
      <c r="W133" s="29"/>
      <c r="X133" s="29"/>
      <c r="Y133" s="29"/>
    </row>
    <row r="134" spans="2:25" ht="15.75" customHeight="1" x14ac:dyDescent="0.25">
      <c r="B134" s="186"/>
      <c r="C134" s="187"/>
      <c r="F134" s="186"/>
      <c r="G134" s="8"/>
      <c r="H134" s="186"/>
      <c r="I134" s="188"/>
      <c r="Y134" s="29"/>
    </row>
    <row r="135" spans="2:25" ht="18" customHeight="1" x14ac:dyDescent="0.25">
      <c r="C135" s="8"/>
      <c r="F135" s="186"/>
      <c r="G135" s="188"/>
      <c r="H135" s="188"/>
      <c r="I135" s="188"/>
      <c r="U135" s="29"/>
      <c r="V135" s="29"/>
      <c r="W135" s="29"/>
      <c r="X135" s="29"/>
      <c r="Y135" s="29"/>
    </row>
    <row r="136" spans="2:25" ht="16.5" customHeight="1" x14ac:dyDescent="0.25">
      <c r="C136" s="8"/>
      <c r="F136" s="186"/>
      <c r="G136" s="188"/>
      <c r="H136" s="188"/>
      <c r="I136" s="188"/>
    </row>
    <row r="137" spans="2:25" ht="13.5" customHeight="1" x14ac:dyDescent="0.25">
      <c r="G137" s="49"/>
      <c r="H137" s="49"/>
      <c r="W137" s="158"/>
    </row>
    <row r="138" spans="2:25" x14ac:dyDescent="0.25">
      <c r="G138" s="49"/>
      <c r="H138" s="49"/>
      <c r="W138" s="29"/>
    </row>
    <row r="139" spans="2:25" x14ac:dyDescent="0.25">
      <c r="G139" s="49"/>
      <c r="H139" s="49"/>
    </row>
    <row r="140" spans="2:25" x14ac:dyDescent="0.25">
      <c r="G140" s="49"/>
      <c r="H140" s="49"/>
    </row>
    <row r="141" spans="2:25" x14ac:dyDescent="0.25">
      <c r="G141" s="49"/>
      <c r="H141" s="49"/>
    </row>
    <row r="142" spans="2:25" x14ac:dyDescent="0.25">
      <c r="G142" s="49"/>
      <c r="H142" s="49"/>
    </row>
    <row r="143" spans="2:25" x14ac:dyDescent="0.25">
      <c r="G143" s="49"/>
      <c r="H143" s="49"/>
    </row>
    <row r="144" spans="2:25" x14ac:dyDescent="0.25">
      <c r="G144" s="49"/>
      <c r="H144" s="49"/>
    </row>
    <row r="145" spans="7:25" x14ac:dyDescent="0.25">
      <c r="G145" s="49"/>
      <c r="H145" s="49"/>
    </row>
    <row r="146" spans="7:25" x14ac:dyDescent="0.25">
      <c r="G146" s="49"/>
      <c r="H146" s="49"/>
    </row>
    <row r="147" spans="7:25" x14ac:dyDescent="0.25">
      <c r="G147" s="49"/>
      <c r="H147" s="49"/>
    </row>
    <row r="148" spans="7:25" x14ac:dyDescent="0.25">
      <c r="G148" s="49"/>
      <c r="H148" s="49"/>
    </row>
    <row r="149" spans="7:25" x14ac:dyDescent="0.25">
      <c r="G149" s="49"/>
      <c r="H149" s="49"/>
    </row>
    <row r="150" spans="7:25" x14ac:dyDescent="0.25">
      <c r="G150" s="49"/>
      <c r="H150" s="49"/>
    </row>
    <row r="151" spans="7:25" x14ac:dyDescent="0.25">
      <c r="G151" s="49"/>
      <c r="H151" s="49"/>
    </row>
    <row r="152" spans="7:25" x14ac:dyDescent="0.25">
      <c r="G152" s="49"/>
      <c r="H152" s="49"/>
    </row>
    <row r="153" spans="7:25" x14ac:dyDescent="0.25">
      <c r="G153" s="49"/>
      <c r="H153" s="49"/>
      <c r="T153" s="29"/>
      <c r="U153" s="8" t="s">
        <v>333</v>
      </c>
      <c r="V153" s="8" t="s">
        <v>334</v>
      </c>
      <c r="W153" s="8" t="s">
        <v>335</v>
      </c>
      <c r="X153" s="8" t="s">
        <v>336</v>
      </c>
      <c r="Y153" s="63" t="s">
        <v>337</v>
      </c>
    </row>
    <row r="154" spans="7:25" x14ac:dyDescent="0.25">
      <c r="G154" s="49"/>
      <c r="H154" s="49"/>
      <c r="U154" s="29"/>
      <c r="V154" s="29"/>
      <c r="W154" s="29"/>
      <c r="X154" s="29"/>
      <c r="Y154" s="29"/>
    </row>
    <row r="155" spans="7:25" x14ac:dyDescent="0.25">
      <c r="G155" s="49"/>
      <c r="H155" s="49"/>
      <c r="U155" s="29"/>
      <c r="V155" s="29"/>
      <c r="W155" s="29"/>
      <c r="X155" s="29"/>
      <c r="Y155" s="29"/>
    </row>
    <row r="156" spans="7:25" x14ac:dyDescent="0.25">
      <c r="G156" s="49"/>
      <c r="H156" s="49"/>
      <c r="T156" s="29"/>
      <c r="U156" s="29"/>
      <c r="V156" s="29"/>
      <c r="W156" s="29"/>
      <c r="X156" s="29"/>
      <c r="Y156" s="29"/>
    </row>
    <row r="157" spans="7:25" x14ac:dyDescent="0.25">
      <c r="G157" s="49"/>
      <c r="H157" s="49"/>
      <c r="T157" s="144"/>
      <c r="U157" s="145"/>
      <c r="V157" s="145"/>
      <c r="W157" s="145"/>
      <c r="X157" s="145"/>
      <c r="Y157" s="147"/>
    </row>
    <row r="158" spans="7:25" x14ac:dyDescent="0.25">
      <c r="G158" s="23"/>
      <c r="H158" s="23"/>
      <c r="T158" s="29"/>
    </row>
    <row r="159" spans="7:25" x14ac:dyDescent="0.25">
      <c r="G159" s="6"/>
      <c r="H159" s="6"/>
      <c r="T159" s="29"/>
      <c r="U159" s="29"/>
    </row>
    <row r="160" spans="7:25" x14ac:dyDescent="0.25">
      <c r="G160" s="6"/>
      <c r="H160" s="6"/>
      <c r="T160" s="29"/>
      <c r="U160" s="29"/>
    </row>
    <row r="161" spans="7:25" x14ac:dyDescent="0.25">
      <c r="G161" s="6"/>
      <c r="H161" s="6"/>
      <c r="T161" s="29"/>
      <c r="U161" s="29"/>
      <c r="V161" s="29"/>
    </row>
    <row r="162" spans="7:25" x14ac:dyDescent="0.25">
      <c r="G162" s="6"/>
      <c r="H162" s="6"/>
      <c r="U162" s="29"/>
    </row>
    <row r="163" spans="7:25" x14ac:dyDescent="0.25">
      <c r="G163" s="6"/>
      <c r="H163" s="6"/>
    </row>
    <row r="164" spans="7:25" x14ac:dyDescent="0.25">
      <c r="G164" s="6"/>
      <c r="H164" s="6"/>
      <c r="T164" s="29"/>
      <c r="U164" s="29"/>
      <c r="V164" s="29"/>
      <c r="Y164" s="63"/>
    </row>
    <row r="165" spans="7:25" x14ac:dyDescent="0.25">
      <c r="G165" s="6"/>
      <c r="H165" s="6"/>
      <c r="U165" s="29"/>
      <c r="V165" s="29"/>
      <c r="W165" s="29"/>
      <c r="X165" s="29"/>
      <c r="Y165" s="29"/>
    </row>
    <row r="166" spans="7:25" x14ac:dyDescent="0.25">
      <c r="G166" s="6"/>
      <c r="H166" s="6"/>
      <c r="U166" s="29"/>
      <c r="V166" s="29"/>
      <c r="W166" s="29"/>
      <c r="X166" s="29"/>
      <c r="Y166" s="29"/>
    </row>
    <row r="167" spans="7:25" x14ac:dyDescent="0.25">
      <c r="G167" s="6"/>
      <c r="H167" s="6"/>
      <c r="T167" s="29"/>
      <c r="U167" s="29"/>
      <c r="V167" s="29"/>
      <c r="W167" s="29"/>
      <c r="X167" s="29"/>
      <c r="Y167" s="29"/>
    </row>
    <row r="168" spans="7:25" x14ac:dyDescent="0.25">
      <c r="G168" s="6"/>
      <c r="H168" s="6"/>
      <c r="T168" s="144"/>
      <c r="U168" s="145"/>
      <c r="V168" s="145"/>
      <c r="W168" s="145"/>
      <c r="X168" s="145"/>
      <c r="Y168" s="29"/>
    </row>
    <row r="169" spans="7:25" x14ac:dyDescent="0.25">
      <c r="G169" s="6"/>
      <c r="H169" s="6"/>
      <c r="T169" s="29"/>
    </row>
    <row r="170" spans="7:25" x14ac:dyDescent="0.25">
      <c r="G170" s="6"/>
      <c r="H170" s="6"/>
      <c r="T170" s="29"/>
      <c r="U170" s="29"/>
    </row>
    <row r="171" spans="7:25" x14ac:dyDescent="0.25">
      <c r="G171" s="6"/>
      <c r="H171" s="6"/>
      <c r="T171" s="29"/>
      <c r="U171" s="29"/>
    </row>
    <row r="172" spans="7:25" x14ac:dyDescent="0.25">
      <c r="G172" s="6"/>
      <c r="H172" s="6"/>
      <c r="T172" s="29"/>
      <c r="U172" s="29"/>
      <c r="V172" s="29"/>
    </row>
    <row r="173" spans="7:25" x14ac:dyDescent="0.25">
      <c r="G173" s="6"/>
      <c r="H173" s="6"/>
      <c r="U173" s="29"/>
    </row>
  </sheetData>
  <mergeCells count="957"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92:P93"/>
    <mergeCell ref="O92:O93"/>
    <mergeCell ref="F92:F93"/>
    <mergeCell ref="D22:D23"/>
    <mergeCell ref="I90:I91"/>
    <mergeCell ref="J68:J69"/>
    <mergeCell ref="K68:K69"/>
    <mergeCell ref="J76:J77"/>
    <mergeCell ref="K70:K71"/>
    <mergeCell ref="J70:J71"/>
    <mergeCell ref="J78:J79"/>
    <mergeCell ref="H82:H83"/>
    <mergeCell ref="I78:I79"/>
    <mergeCell ref="G76:G77"/>
    <mergeCell ref="K82:K83"/>
    <mergeCell ref="G82:G83"/>
    <mergeCell ref="K78:K79"/>
    <mergeCell ref="I92:I93"/>
    <mergeCell ref="G90:G91"/>
    <mergeCell ref="R90:R91"/>
    <mergeCell ref="R92:R93"/>
    <mergeCell ref="R82:R83"/>
    <mergeCell ref="R80:R81"/>
    <mergeCell ref="L20:L21"/>
    <mergeCell ref="M20:M21"/>
    <mergeCell ref="N20:N21"/>
    <mergeCell ref="O20:O21"/>
    <mergeCell ref="P20:P21"/>
    <mergeCell ref="Q20:Q21"/>
    <mergeCell ref="R20:R21"/>
    <mergeCell ref="O90:O91"/>
    <mergeCell ref="P90:P91"/>
    <mergeCell ref="N66:N67"/>
    <mergeCell ref="N78:N79"/>
    <mergeCell ref="L68:L69"/>
    <mergeCell ref="M68:M69"/>
    <mergeCell ref="M78:M79"/>
    <mergeCell ref="M70:M71"/>
    <mergeCell ref="N68:N69"/>
    <mergeCell ref="O84:O85"/>
    <mergeCell ref="M82:M83"/>
    <mergeCell ref="L80:L81"/>
    <mergeCell ref="M80:M81"/>
    <mergeCell ref="T91:T92"/>
    <mergeCell ref="T93:T94"/>
    <mergeCell ref="T95:T122"/>
    <mergeCell ref="T67:T68"/>
    <mergeCell ref="T69:T70"/>
    <mergeCell ref="T71:T72"/>
    <mergeCell ref="T73:T74"/>
    <mergeCell ref="T75:T76"/>
    <mergeCell ref="T77:T78"/>
    <mergeCell ref="T79:T80"/>
    <mergeCell ref="T81:T82"/>
    <mergeCell ref="T83:T84"/>
    <mergeCell ref="T85:T86"/>
    <mergeCell ref="T53:T54"/>
    <mergeCell ref="T55:T56"/>
    <mergeCell ref="T57:T58"/>
    <mergeCell ref="T59:T60"/>
    <mergeCell ref="T61:T62"/>
    <mergeCell ref="T63:T64"/>
    <mergeCell ref="T65:T66"/>
    <mergeCell ref="T87:T88"/>
    <mergeCell ref="T89:T90"/>
    <mergeCell ref="U37:U38"/>
    <mergeCell ref="U39:U40"/>
    <mergeCell ref="U41:U42"/>
    <mergeCell ref="U43:U44"/>
    <mergeCell ref="U45:U46"/>
    <mergeCell ref="U47:U48"/>
    <mergeCell ref="U67:U68"/>
    <mergeCell ref="T12:T13"/>
    <mergeCell ref="T15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U12:U13"/>
    <mergeCell ref="U15:U22"/>
    <mergeCell ref="U23:U24"/>
    <mergeCell ref="U25:U26"/>
    <mergeCell ref="U27:U28"/>
    <mergeCell ref="U29:U30"/>
    <mergeCell ref="U31:U32"/>
    <mergeCell ref="U33:U34"/>
    <mergeCell ref="U35:U36"/>
    <mergeCell ref="U49:U50"/>
    <mergeCell ref="U51:U52"/>
    <mergeCell ref="U53:U54"/>
    <mergeCell ref="U55:U56"/>
    <mergeCell ref="U57:U58"/>
    <mergeCell ref="U59:U60"/>
    <mergeCell ref="U61:U62"/>
    <mergeCell ref="U63:U64"/>
    <mergeCell ref="U65:U66"/>
    <mergeCell ref="U69:U70"/>
    <mergeCell ref="U71:U72"/>
    <mergeCell ref="U73:U74"/>
    <mergeCell ref="U75:U76"/>
    <mergeCell ref="U77:U78"/>
    <mergeCell ref="U79:U80"/>
    <mergeCell ref="U81:U82"/>
    <mergeCell ref="U83:U84"/>
    <mergeCell ref="U85:U86"/>
    <mergeCell ref="U87:U88"/>
    <mergeCell ref="U89:U90"/>
    <mergeCell ref="U91:U92"/>
    <mergeCell ref="U93:U94"/>
    <mergeCell ref="U95:U122"/>
    <mergeCell ref="E18:E19"/>
    <mergeCell ref="M90:M91"/>
    <mergeCell ref="M18:M19"/>
    <mergeCell ref="M92:M93"/>
    <mergeCell ref="Q90:Q91"/>
    <mergeCell ref="Q18:Q19"/>
    <mergeCell ref="Q92:Q93"/>
    <mergeCell ref="J90:J91"/>
    <mergeCell ref="J18:J19"/>
    <mergeCell ref="J92:J93"/>
    <mergeCell ref="K90:K91"/>
    <mergeCell ref="K18:K19"/>
    <mergeCell ref="K92:K93"/>
    <mergeCell ref="L90:L91"/>
    <mergeCell ref="L18:L19"/>
    <mergeCell ref="L92:L93"/>
    <mergeCell ref="N90:N91"/>
    <mergeCell ref="N18:N19"/>
    <mergeCell ref="N92:N93"/>
    <mergeCell ref="F90:F91"/>
    <mergeCell ref="F18:F19"/>
    <mergeCell ref="I68:I69"/>
    <mergeCell ref="G68:G69"/>
    <mergeCell ref="H70:H71"/>
    <mergeCell ref="G72:G73"/>
    <mergeCell ref="I70:I71"/>
    <mergeCell ref="H72:H73"/>
    <mergeCell ref="H74:H75"/>
    <mergeCell ref="H78:H79"/>
    <mergeCell ref="H76:H77"/>
    <mergeCell ref="H66:H67"/>
    <mergeCell ref="H80:H81"/>
    <mergeCell ref="G80:G81"/>
    <mergeCell ref="I76:I77"/>
    <mergeCell ref="G78:G79"/>
    <mergeCell ref="F20:F21"/>
    <mergeCell ref="I80:I81"/>
    <mergeCell ref="F88:F89"/>
    <mergeCell ref="G20:G21"/>
    <mergeCell ref="H20:H21"/>
    <mergeCell ref="I20:I21"/>
    <mergeCell ref="K60:K61"/>
    <mergeCell ref="K64:K65"/>
    <mergeCell ref="J80:J81"/>
    <mergeCell ref="K80:K81"/>
    <mergeCell ref="N80:N81"/>
    <mergeCell ref="L78:L79"/>
    <mergeCell ref="M72:M73"/>
    <mergeCell ref="G18:G19"/>
    <mergeCell ref="G92:G93"/>
    <mergeCell ref="H18:H19"/>
    <mergeCell ref="H92:H93"/>
    <mergeCell ref="H90:H91"/>
    <mergeCell ref="J20:J21"/>
    <mergeCell ref="K20:K21"/>
    <mergeCell ref="R74:R75"/>
    <mergeCell ref="Q72:Q73"/>
    <mergeCell ref="R72:R73"/>
    <mergeCell ref="Q78:Q79"/>
    <mergeCell ref="Q76:Q77"/>
    <mergeCell ref="R76:R77"/>
    <mergeCell ref="R78:R79"/>
    <mergeCell ref="J82:J83"/>
    <mergeCell ref="K50:K51"/>
    <mergeCell ref="L50:L51"/>
    <mergeCell ref="J60:J61"/>
    <mergeCell ref="J62:J63"/>
    <mergeCell ref="K52:K53"/>
    <mergeCell ref="N54:N55"/>
    <mergeCell ref="N70:N71"/>
    <mergeCell ref="L52:L53"/>
    <mergeCell ref="M52:M53"/>
    <mergeCell ref="K54:K55"/>
    <mergeCell ref="L56:L57"/>
    <mergeCell ref="L58:L59"/>
    <mergeCell ref="K62:K63"/>
    <mergeCell ref="K58:K59"/>
    <mergeCell ref="K66:K67"/>
    <mergeCell ref="L60:L61"/>
    <mergeCell ref="L70:L71"/>
    <mergeCell ref="O82:O83"/>
    <mergeCell ref="L82:L83"/>
    <mergeCell ref="P82:P83"/>
    <mergeCell ref="N82:N83"/>
    <mergeCell ref="O64:O65"/>
    <mergeCell ref="Q74:Q75"/>
    <mergeCell ref="L64:L65"/>
    <mergeCell ref="L62:L63"/>
    <mergeCell ref="L66:L67"/>
    <mergeCell ref="O80:O81"/>
    <mergeCell ref="P80:P81"/>
    <mergeCell ref="Q64:Q65"/>
    <mergeCell ref="O66:O67"/>
    <mergeCell ref="O68:O69"/>
    <mergeCell ref="Q80:Q81"/>
    <mergeCell ref="O76:O77"/>
    <mergeCell ref="P76:P77"/>
    <mergeCell ref="P74:P75"/>
    <mergeCell ref="P72:P73"/>
    <mergeCell ref="O74:O75"/>
    <mergeCell ref="P78:P79"/>
    <mergeCell ref="O78:O79"/>
    <mergeCell ref="R70:R71"/>
    <mergeCell ref="Q70:Q71"/>
    <mergeCell ref="P70:P71"/>
    <mergeCell ref="P68:P69"/>
    <mergeCell ref="R66:R67"/>
    <mergeCell ref="R64:R65"/>
    <mergeCell ref="Q68:Q69"/>
    <mergeCell ref="R68:R69"/>
    <mergeCell ref="P64:P65"/>
    <mergeCell ref="P66:P67"/>
    <mergeCell ref="Q66:Q67"/>
    <mergeCell ref="I88:I89"/>
    <mergeCell ref="R84:R85"/>
    <mergeCell ref="J86:J87"/>
    <mergeCell ref="K86:K87"/>
    <mergeCell ref="K84:K85"/>
    <mergeCell ref="L84:L85"/>
    <mergeCell ref="M84:M85"/>
    <mergeCell ref="N84:N85"/>
    <mergeCell ref="L86:L87"/>
    <mergeCell ref="M86:M87"/>
    <mergeCell ref="N86:N87"/>
    <mergeCell ref="Q84:Q85"/>
    <mergeCell ref="P84:P85"/>
    <mergeCell ref="J84:J85"/>
    <mergeCell ref="O88:O89"/>
    <mergeCell ref="Q88:Q89"/>
    <mergeCell ref="R88:R89"/>
    <mergeCell ref="P88:P89"/>
    <mergeCell ref="F84:F85"/>
    <mergeCell ref="K88:K89"/>
    <mergeCell ref="L88:L89"/>
    <mergeCell ref="M88:M89"/>
    <mergeCell ref="N88:N89"/>
    <mergeCell ref="I84:I85"/>
    <mergeCell ref="H68:H69"/>
    <mergeCell ref="J64:J65"/>
    <mergeCell ref="J66:J67"/>
    <mergeCell ref="I66:I67"/>
    <mergeCell ref="L72:L73"/>
    <mergeCell ref="M66:M67"/>
    <mergeCell ref="M64:M65"/>
    <mergeCell ref="N64:N65"/>
    <mergeCell ref="J88:J89"/>
    <mergeCell ref="I82:I83"/>
    <mergeCell ref="G88:G89"/>
    <mergeCell ref="H88:H89"/>
    <mergeCell ref="H86:H87"/>
    <mergeCell ref="H84:H85"/>
    <mergeCell ref="G86:G87"/>
    <mergeCell ref="G64:G65"/>
    <mergeCell ref="G70:G71"/>
    <mergeCell ref="G74:G75"/>
    <mergeCell ref="P40:P41"/>
    <mergeCell ref="Q40:Q41"/>
    <mergeCell ref="R40:R41"/>
    <mergeCell ref="I44:I45"/>
    <mergeCell ref="J44:J45"/>
    <mergeCell ref="K44:K45"/>
    <mergeCell ref="L44:L45"/>
    <mergeCell ref="M44:M45"/>
    <mergeCell ref="N44:N45"/>
    <mergeCell ref="O44:O45"/>
    <mergeCell ref="R42:R43"/>
    <mergeCell ref="O42:O43"/>
    <mergeCell ref="K40:K41"/>
    <mergeCell ref="L40:L41"/>
    <mergeCell ref="M40:M41"/>
    <mergeCell ref="N40:N41"/>
    <mergeCell ref="O40:O41"/>
    <mergeCell ref="P44:P45"/>
    <mergeCell ref="Q44:Q45"/>
    <mergeCell ref="J42:J43"/>
    <mergeCell ref="K42:K43"/>
    <mergeCell ref="I42:I43"/>
    <mergeCell ref="J40:J41"/>
    <mergeCell ref="Q42:Q43"/>
    <mergeCell ref="R32:R33"/>
    <mergeCell ref="R38:R39"/>
    <mergeCell ref="Q38:Q39"/>
    <mergeCell ref="P38:P39"/>
    <mergeCell ref="M36:M37"/>
    <mergeCell ref="N36:N37"/>
    <mergeCell ref="O36:O37"/>
    <mergeCell ref="O38:O39"/>
    <mergeCell ref="N38:N39"/>
    <mergeCell ref="M38:M39"/>
    <mergeCell ref="P36:P37"/>
    <mergeCell ref="Q36:Q37"/>
    <mergeCell ref="R36:R37"/>
    <mergeCell ref="R34:R35"/>
    <mergeCell ref="Q34:Q35"/>
    <mergeCell ref="Q32:Q33"/>
    <mergeCell ref="P34:P35"/>
    <mergeCell ref="M32:M33"/>
    <mergeCell ref="N32:N33"/>
    <mergeCell ref="O32:O33"/>
    <mergeCell ref="O34:O35"/>
    <mergeCell ref="N34:N35"/>
    <mergeCell ref="M34:M35"/>
    <mergeCell ref="P32:P33"/>
    <mergeCell ref="O12:O13"/>
    <mergeCell ref="N12:N13"/>
    <mergeCell ref="Q12:Q13"/>
    <mergeCell ref="R16:R17"/>
    <mergeCell ref="N26:N27"/>
    <mergeCell ref="O26:O27"/>
    <mergeCell ref="P26:P27"/>
    <mergeCell ref="Q26:Q27"/>
    <mergeCell ref="R26:R27"/>
    <mergeCell ref="Q16:Q17"/>
    <mergeCell ref="R24:R25"/>
    <mergeCell ref="Q24:Q25"/>
    <mergeCell ref="N16:N17"/>
    <mergeCell ref="N24:N25"/>
    <mergeCell ref="R18:R19"/>
    <mergeCell ref="O18:O19"/>
    <mergeCell ref="P18:P19"/>
    <mergeCell ref="N14:N15"/>
    <mergeCell ref="O14:O15"/>
    <mergeCell ref="P14:P15"/>
    <mergeCell ref="Q14:Q15"/>
    <mergeCell ref="R14:R15"/>
    <mergeCell ref="R30:R31"/>
    <mergeCell ref="Q30:Q31"/>
    <mergeCell ref="P30:P31"/>
    <mergeCell ref="N28:N29"/>
    <mergeCell ref="O28:O29"/>
    <mergeCell ref="O30:O31"/>
    <mergeCell ref="N30:N31"/>
    <mergeCell ref="R28:R29"/>
    <mergeCell ref="P28:P29"/>
    <mergeCell ref="Q28:Q29"/>
    <mergeCell ref="K28:K29"/>
    <mergeCell ref="L28:L29"/>
    <mergeCell ref="L34:L35"/>
    <mergeCell ref="L36:L37"/>
    <mergeCell ref="I34:I35"/>
    <mergeCell ref="I32:I33"/>
    <mergeCell ref="I36:I37"/>
    <mergeCell ref="M30:M31"/>
    <mergeCell ref="I30:I31"/>
    <mergeCell ref="K30:K31"/>
    <mergeCell ref="L30:L31"/>
    <mergeCell ref="M28:M29"/>
    <mergeCell ref="J30:J31"/>
    <mergeCell ref="J52:J53"/>
    <mergeCell ref="J58:J59"/>
    <mergeCell ref="I56:I57"/>
    <mergeCell ref="J56:J57"/>
    <mergeCell ref="I58:I59"/>
    <mergeCell ref="J54:J55"/>
    <mergeCell ref="J48:J49"/>
    <mergeCell ref="I40:I41"/>
    <mergeCell ref="I38:I39"/>
    <mergeCell ref="J50:J51"/>
    <mergeCell ref="I52:I53"/>
    <mergeCell ref="I50:I51"/>
    <mergeCell ref="I54:I55"/>
    <mergeCell ref="G66:G67"/>
    <mergeCell ref="G62:G63"/>
    <mergeCell ref="G60:G61"/>
    <mergeCell ref="H60:H61"/>
    <mergeCell ref="G52:G53"/>
    <mergeCell ref="H62:H63"/>
    <mergeCell ref="H64:H65"/>
    <mergeCell ref="G50:G51"/>
    <mergeCell ref="H50:H51"/>
    <mergeCell ref="H58:H59"/>
    <mergeCell ref="H52:H53"/>
    <mergeCell ref="G54:G55"/>
    <mergeCell ref="H54:H55"/>
    <mergeCell ref="G56:G57"/>
    <mergeCell ref="G58:G59"/>
    <mergeCell ref="H56:H57"/>
    <mergeCell ref="G46:G47"/>
    <mergeCell ref="I46:I47"/>
    <mergeCell ref="H48:H49"/>
    <mergeCell ref="G48:G49"/>
    <mergeCell ref="H28:H29"/>
    <mergeCell ref="G36:G37"/>
    <mergeCell ref="H34:H35"/>
    <mergeCell ref="H46:H47"/>
    <mergeCell ref="G30:G31"/>
    <mergeCell ref="H32:H33"/>
    <mergeCell ref="H40:H41"/>
    <mergeCell ref="G38:G39"/>
    <mergeCell ref="G28:G29"/>
    <mergeCell ref="H30:H31"/>
    <mergeCell ref="H44:H45"/>
    <mergeCell ref="H38:H39"/>
    <mergeCell ref="G32:G33"/>
    <mergeCell ref="G34:G35"/>
    <mergeCell ref="G44:G45"/>
    <mergeCell ref="H36:H37"/>
    <mergeCell ref="G40:G41"/>
    <mergeCell ref="G42:G43"/>
    <mergeCell ref="I48:I49"/>
    <mergeCell ref="H42:H43"/>
    <mergeCell ref="A2:S2"/>
    <mergeCell ref="A3:S3"/>
    <mergeCell ref="A8:A9"/>
    <mergeCell ref="B8:B9"/>
    <mergeCell ref="C8:C9"/>
    <mergeCell ref="D8:D9"/>
    <mergeCell ref="I8:K8"/>
    <mergeCell ref="L8:N8"/>
    <mergeCell ref="H8:H9"/>
    <mergeCell ref="G8:G9"/>
    <mergeCell ref="E8:E9"/>
    <mergeCell ref="P120:Q120"/>
    <mergeCell ref="O8:O9"/>
    <mergeCell ref="P8:Q9"/>
    <mergeCell ref="R8:R9"/>
    <mergeCell ref="S8:S9"/>
    <mergeCell ref="Q86:Q87"/>
    <mergeCell ref="R86:R87"/>
    <mergeCell ref="O58:O59"/>
    <mergeCell ref="P58:P59"/>
    <mergeCell ref="Q58:Q59"/>
    <mergeCell ref="O86:O87"/>
    <mergeCell ref="P86:P87"/>
    <mergeCell ref="R12:R13"/>
    <mergeCell ref="P12:P13"/>
    <mergeCell ref="P10:Q10"/>
    <mergeCell ref="R50:R51"/>
    <mergeCell ref="O52:O53"/>
    <mergeCell ref="O56:O57"/>
    <mergeCell ref="O50:O51"/>
    <mergeCell ref="O60:O61"/>
    <mergeCell ref="O16:O17"/>
    <mergeCell ref="P16:P17"/>
    <mergeCell ref="P24:P25"/>
    <mergeCell ref="O24:O25"/>
    <mergeCell ref="M14:M15"/>
    <mergeCell ref="J22:J23"/>
    <mergeCell ref="H24:H25"/>
    <mergeCell ref="M24:M25"/>
    <mergeCell ref="J16:J17"/>
    <mergeCell ref="K12:K13"/>
    <mergeCell ref="L12:L13"/>
    <mergeCell ref="M12:M13"/>
    <mergeCell ref="M16:M17"/>
    <mergeCell ref="K16:K17"/>
    <mergeCell ref="L16:L17"/>
    <mergeCell ref="K22:K23"/>
    <mergeCell ref="L22:L23"/>
    <mergeCell ref="H12:H13"/>
    <mergeCell ref="J12:J13"/>
    <mergeCell ref="H26:H27"/>
    <mergeCell ref="I12:I13"/>
    <mergeCell ref="I26:I27"/>
    <mergeCell ref="I24:I25"/>
    <mergeCell ref="H16:H17"/>
    <mergeCell ref="K24:K25"/>
    <mergeCell ref="J24:J25"/>
    <mergeCell ref="I18:I19"/>
    <mergeCell ref="D12:D13"/>
    <mergeCell ref="I16:I17"/>
    <mergeCell ref="D16:D17"/>
    <mergeCell ref="F62:F63"/>
    <mergeCell ref="D66:D67"/>
    <mergeCell ref="F66:F67"/>
    <mergeCell ref="D64:D65"/>
    <mergeCell ref="F64:F65"/>
    <mergeCell ref="D62:D63"/>
    <mergeCell ref="I64:I65"/>
    <mergeCell ref="E12:E13"/>
    <mergeCell ref="E16:E17"/>
    <mergeCell ref="E24:E25"/>
    <mergeCell ref="F12:F13"/>
    <mergeCell ref="F24:F25"/>
    <mergeCell ref="F26:F27"/>
    <mergeCell ref="G12:G13"/>
    <mergeCell ref="G16:G17"/>
    <mergeCell ref="G24:G25"/>
    <mergeCell ref="G26:G27"/>
    <mergeCell ref="D30:D31"/>
    <mergeCell ref="F58:F59"/>
    <mergeCell ref="F54:F55"/>
    <mergeCell ref="F32:F33"/>
    <mergeCell ref="F16:F17"/>
    <mergeCell ref="D28:D29"/>
    <mergeCell ref="D38:D39"/>
    <mergeCell ref="D52:D53"/>
    <mergeCell ref="D46:D47"/>
    <mergeCell ref="D48:D49"/>
    <mergeCell ref="D40:D41"/>
    <mergeCell ref="D20:D21"/>
    <mergeCell ref="F30:F31"/>
    <mergeCell ref="F28:F29"/>
    <mergeCell ref="F44:F45"/>
    <mergeCell ref="F34:F35"/>
    <mergeCell ref="F38:F39"/>
    <mergeCell ref="F36:F37"/>
    <mergeCell ref="F40:F41"/>
    <mergeCell ref="F42:F43"/>
    <mergeCell ref="D44:D45"/>
    <mergeCell ref="F46:F47"/>
    <mergeCell ref="F48:F49"/>
    <mergeCell ref="F50:F51"/>
    <mergeCell ref="F52:F53"/>
    <mergeCell ref="F22:F23"/>
    <mergeCell ref="B120:D120"/>
    <mergeCell ref="D86:D87"/>
    <mergeCell ref="F86:F87"/>
    <mergeCell ref="G84:G85"/>
    <mergeCell ref="D84:D85"/>
    <mergeCell ref="O72:O73"/>
    <mergeCell ref="N72:N73"/>
    <mergeCell ref="K72:K73"/>
    <mergeCell ref="K74:K75"/>
    <mergeCell ref="I72:I73"/>
    <mergeCell ref="J72:J73"/>
    <mergeCell ref="M74:M75"/>
    <mergeCell ref="N74:N75"/>
    <mergeCell ref="I74:I75"/>
    <mergeCell ref="J74:J75"/>
    <mergeCell ref="M76:M77"/>
    <mergeCell ref="N76:N77"/>
    <mergeCell ref="K76:K77"/>
    <mergeCell ref="L76:L77"/>
    <mergeCell ref="L74:L75"/>
    <mergeCell ref="D72:D73"/>
    <mergeCell ref="C88:C89"/>
    <mergeCell ref="C90:C91"/>
    <mergeCell ref="I86:I87"/>
    <mergeCell ref="C64:C65"/>
    <mergeCell ref="C54:C55"/>
    <mergeCell ref="C56:C57"/>
    <mergeCell ref="C58:C59"/>
    <mergeCell ref="C60:C61"/>
    <mergeCell ref="Q54:Q55"/>
    <mergeCell ref="M58:M59"/>
    <mergeCell ref="M56:M57"/>
    <mergeCell ref="M62:M63"/>
    <mergeCell ref="N62:N63"/>
    <mergeCell ref="O62:O63"/>
    <mergeCell ref="P54:P55"/>
    <mergeCell ref="F56:F57"/>
    <mergeCell ref="F60:F61"/>
    <mergeCell ref="I62:I63"/>
    <mergeCell ref="I60:I61"/>
    <mergeCell ref="C62:C63"/>
    <mergeCell ref="M60:M61"/>
    <mergeCell ref="N60:N61"/>
    <mergeCell ref="N58:N59"/>
    <mergeCell ref="N56:N57"/>
    <mergeCell ref="M54:M55"/>
    <mergeCell ref="L54:L55"/>
    <mergeCell ref="K56:K57"/>
    <mergeCell ref="C40:C41"/>
    <mergeCell ref="C42:C43"/>
    <mergeCell ref="C44:C45"/>
    <mergeCell ref="C46:C47"/>
    <mergeCell ref="C48:C49"/>
    <mergeCell ref="C50:C51"/>
    <mergeCell ref="C52:C53"/>
    <mergeCell ref="C12:C13"/>
    <mergeCell ref="C16:C17"/>
    <mergeCell ref="C24:C25"/>
    <mergeCell ref="C26:C27"/>
    <mergeCell ref="C28:C29"/>
    <mergeCell ref="C18:C19"/>
    <mergeCell ref="C14:C15"/>
    <mergeCell ref="C20:C21"/>
    <mergeCell ref="C30:C31"/>
    <mergeCell ref="C32:C33"/>
    <mergeCell ref="C34:C35"/>
    <mergeCell ref="C36:C37"/>
    <mergeCell ref="C38:C39"/>
    <mergeCell ref="D88:D89"/>
    <mergeCell ref="E88:E89"/>
    <mergeCell ref="D90:D91"/>
    <mergeCell ref="E70:E71"/>
    <mergeCell ref="E72:E73"/>
    <mergeCell ref="D78:D79"/>
    <mergeCell ref="D76:D77"/>
    <mergeCell ref="D18:D19"/>
    <mergeCell ref="D92:D93"/>
    <mergeCell ref="E90:E91"/>
    <mergeCell ref="D24:D25"/>
    <mergeCell ref="D50:D51"/>
    <mergeCell ref="D42:D43"/>
    <mergeCell ref="D56:D57"/>
    <mergeCell ref="D54:D55"/>
    <mergeCell ref="D26:D27"/>
    <mergeCell ref="D60:D61"/>
    <mergeCell ref="D58:D59"/>
    <mergeCell ref="E66:E67"/>
    <mergeCell ref="D32:D33"/>
    <mergeCell ref="D34:D35"/>
    <mergeCell ref="D36:D37"/>
    <mergeCell ref="E84:E85"/>
    <mergeCell ref="D70:D71"/>
    <mergeCell ref="C92:C93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D82:D83"/>
    <mergeCell ref="D74:D75"/>
    <mergeCell ref="F74:F75"/>
    <mergeCell ref="F72:F73"/>
    <mergeCell ref="D68:D69"/>
    <mergeCell ref="F68:F69"/>
    <mergeCell ref="F70:F71"/>
    <mergeCell ref="D80:D81"/>
    <mergeCell ref="F80:F81"/>
    <mergeCell ref="F82:F83"/>
    <mergeCell ref="E74:E75"/>
    <mergeCell ref="E76:E77"/>
    <mergeCell ref="E78:E79"/>
    <mergeCell ref="E80:E81"/>
    <mergeCell ref="E82:E83"/>
    <mergeCell ref="E68:E69"/>
    <mergeCell ref="F78:F79"/>
    <mergeCell ref="F76:F77"/>
    <mergeCell ref="U123:U124"/>
    <mergeCell ref="E26:E27"/>
    <mergeCell ref="E28:E29"/>
    <mergeCell ref="E30:E31"/>
    <mergeCell ref="E32:E33"/>
    <mergeCell ref="E34:E35"/>
    <mergeCell ref="E36:E37"/>
    <mergeCell ref="E38:E39"/>
    <mergeCell ref="E20:E21"/>
    <mergeCell ref="E40:E41"/>
    <mergeCell ref="E42:E43"/>
    <mergeCell ref="E44:E45"/>
    <mergeCell ref="E46:E47"/>
    <mergeCell ref="E48:E49"/>
    <mergeCell ref="E50:E51"/>
    <mergeCell ref="E52:E53"/>
    <mergeCell ref="E54:E55"/>
    <mergeCell ref="E92:E93"/>
    <mergeCell ref="E56:E57"/>
    <mergeCell ref="E58:E59"/>
    <mergeCell ref="E60:E61"/>
    <mergeCell ref="E62:E63"/>
    <mergeCell ref="E64:E65"/>
    <mergeCell ref="E86:E87"/>
    <mergeCell ref="F116:F117"/>
    <mergeCell ref="F118:F119"/>
    <mergeCell ref="D94:D95"/>
    <mergeCell ref="C94:C95"/>
    <mergeCell ref="C96:C97"/>
    <mergeCell ref="D96:D97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D116:D117"/>
    <mergeCell ref="D118:D119"/>
    <mergeCell ref="D114:D115"/>
    <mergeCell ref="D112:D113"/>
    <mergeCell ref="D110:D111"/>
    <mergeCell ref="D108:D109"/>
    <mergeCell ref="D106:D107"/>
    <mergeCell ref="C106:C107"/>
    <mergeCell ref="C108:C109"/>
    <mergeCell ref="C110:C111"/>
    <mergeCell ref="C112:C113"/>
    <mergeCell ref="C114:C115"/>
    <mergeCell ref="C116:C117"/>
    <mergeCell ref="C118:C119"/>
    <mergeCell ref="G112:G113"/>
    <mergeCell ref="G114:G115"/>
    <mergeCell ref="G116:G117"/>
    <mergeCell ref="G118:G119"/>
    <mergeCell ref="F94:F95"/>
    <mergeCell ref="F96:F97"/>
    <mergeCell ref="F98:F99"/>
    <mergeCell ref="F100:F101"/>
    <mergeCell ref="F102:F103"/>
    <mergeCell ref="F104:F105"/>
    <mergeCell ref="F106:F107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F108:F109"/>
    <mergeCell ref="F110:F111"/>
    <mergeCell ref="F112:F113"/>
    <mergeCell ref="F114:F115"/>
    <mergeCell ref="H118:H119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H94:H95"/>
    <mergeCell ref="H96:H97"/>
    <mergeCell ref="H98:H99"/>
    <mergeCell ref="H100:H101"/>
    <mergeCell ref="H102:H103"/>
    <mergeCell ref="H104:H105"/>
    <mergeCell ref="H112:H113"/>
    <mergeCell ref="H114:H115"/>
    <mergeCell ref="H116:H117"/>
    <mergeCell ref="L104:L105"/>
    <mergeCell ref="L106:L107"/>
    <mergeCell ref="L108:L109"/>
    <mergeCell ref="L110:L111"/>
    <mergeCell ref="J112:J113"/>
    <mergeCell ref="J114:J115"/>
    <mergeCell ref="J116:J117"/>
    <mergeCell ref="H106:H107"/>
    <mergeCell ref="H108:H109"/>
    <mergeCell ref="H110:H111"/>
    <mergeCell ref="J104:J105"/>
    <mergeCell ref="J106:J107"/>
    <mergeCell ref="J108:J109"/>
    <mergeCell ref="J110:J111"/>
    <mergeCell ref="J118:J119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J94:J95"/>
    <mergeCell ref="J96:J97"/>
    <mergeCell ref="J98:J99"/>
    <mergeCell ref="J100:J101"/>
    <mergeCell ref="J102:J103"/>
    <mergeCell ref="N106:N107"/>
    <mergeCell ref="N108:N109"/>
    <mergeCell ref="N110:N111"/>
    <mergeCell ref="L112:L113"/>
    <mergeCell ref="L114:L115"/>
    <mergeCell ref="L116:L117"/>
    <mergeCell ref="L118:L119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L94:L95"/>
    <mergeCell ref="L96:L97"/>
    <mergeCell ref="L98:L99"/>
    <mergeCell ref="L100:L101"/>
    <mergeCell ref="P106:P107"/>
    <mergeCell ref="P108:P109"/>
    <mergeCell ref="P110:P111"/>
    <mergeCell ref="N112:N113"/>
    <mergeCell ref="N114:N115"/>
    <mergeCell ref="N116:N117"/>
    <mergeCell ref="N118:N119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N94:N95"/>
    <mergeCell ref="N96:N97"/>
    <mergeCell ref="N98:N99"/>
    <mergeCell ref="N100:N101"/>
    <mergeCell ref="R106:R107"/>
    <mergeCell ref="R108:R109"/>
    <mergeCell ref="R110:R111"/>
    <mergeCell ref="P112:P113"/>
    <mergeCell ref="P114:P115"/>
    <mergeCell ref="P116:P117"/>
    <mergeCell ref="P118:P119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P94:P95"/>
    <mergeCell ref="P96:P97"/>
    <mergeCell ref="P98:P99"/>
    <mergeCell ref="P100:P101"/>
    <mergeCell ref="R104:R105"/>
    <mergeCell ref="P102:P103"/>
    <mergeCell ref="P104:P105"/>
    <mergeCell ref="N102:N103"/>
    <mergeCell ref="N104:N105"/>
    <mergeCell ref="L102:L103"/>
    <mergeCell ref="R48:R49"/>
    <mergeCell ref="P50:P51"/>
    <mergeCell ref="Q50:Q51"/>
    <mergeCell ref="N50:N51"/>
    <mergeCell ref="R56:R57"/>
    <mergeCell ref="O48:O49"/>
    <mergeCell ref="P56:P57"/>
    <mergeCell ref="N52:N53"/>
    <mergeCell ref="M50:M51"/>
    <mergeCell ref="Q52:Q53"/>
    <mergeCell ref="P48:P49"/>
    <mergeCell ref="R52:R53"/>
    <mergeCell ref="P52:P53"/>
    <mergeCell ref="L48:L49"/>
    <mergeCell ref="M48:M49"/>
    <mergeCell ref="N48:N49"/>
    <mergeCell ref="O70:O71"/>
    <mergeCell ref="Q82:Q83"/>
    <mergeCell ref="R94:R95"/>
    <mergeCell ref="R96:R97"/>
    <mergeCell ref="R98:R99"/>
    <mergeCell ref="R100:R101"/>
    <mergeCell ref="R102:R103"/>
    <mergeCell ref="P42:P43"/>
    <mergeCell ref="M46:M47"/>
    <mergeCell ref="N46:N47"/>
    <mergeCell ref="O46:O47"/>
    <mergeCell ref="P46:P47"/>
    <mergeCell ref="R44:R45"/>
    <mergeCell ref="Q48:Q49"/>
    <mergeCell ref="Q56:Q57"/>
    <mergeCell ref="O54:O55"/>
    <mergeCell ref="Q46:Q47"/>
    <mergeCell ref="R60:R61"/>
    <mergeCell ref="P62:P63"/>
    <mergeCell ref="Q62:Q63"/>
    <mergeCell ref="R62:R63"/>
    <mergeCell ref="P60:P61"/>
    <mergeCell ref="Q60:Q61"/>
    <mergeCell ref="R46:R47"/>
    <mergeCell ref="R54:R55"/>
    <mergeCell ref="R58:R59"/>
    <mergeCell ref="H22:H23"/>
    <mergeCell ref="L38:L39"/>
    <mergeCell ref="L46:L47"/>
    <mergeCell ref="K38:K39"/>
    <mergeCell ref="N42:N43"/>
    <mergeCell ref="M42:M43"/>
    <mergeCell ref="L42:L43"/>
    <mergeCell ref="K46:K47"/>
    <mergeCell ref="K48:K49"/>
    <mergeCell ref="K26:K27"/>
    <mergeCell ref="L26:L27"/>
    <mergeCell ref="M22:M23"/>
    <mergeCell ref="M26:M27"/>
    <mergeCell ref="J38:J39"/>
    <mergeCell ref="J46:J47"/>
    <mergeCell ref="J32:J33"/>
    <mergeCell ref="K32:K33"/>
    <mergeCell ref="L32:L33"/>
    <mergeCell ref="K34:K35"/>
    <mergeCell ref="J34:J35"/>
    <mergeCell ref="J36:J37"/>
    <mergeCell ref="K36:K37"/>
    <mergeCell ref="I28:I29"/>
    <mergeCell ref="J28:J29"/>
    <mergeCell ref="G22:G23"/>
    <mergeCell ref="L24:L25"/>
    <mergeCell ref="J26:J27"/>
    <mergeCell ref="V12:V13"/>
    <mergeCell ref="O130:S130"/>
    <mergeCell ref="E114:E115"/>
    <mergeCell ref="E116:E117"/>
    <mergeCell ref="E118:E119"/>
    <mergeCell ref="E22:E23"/>
    <mergeCell ref="E100:E101"/>
    <mergeCell ref="E94:E95"/>
    <mergeCell ref="E96:E97"/>
    <mergeCell ref="E98:E99"/>
    <mergeCell ref="E102:E103"/>
    <mergeCell ref="E104:E105"/>
    <mergeCell ref="E106:E107"/>
    <mergeCell ref="E108:E109"/>
    <mergeCell ref="E110:E111"/>
    <mergeCell ref="E112:E113"/>
    <mergeCell ref="R112:R113"/>
    <mergeCell ref="R114:R115"/>
    <mergeCell ref="R116:R117"/>
    <mergeCell ref="R118:R119"/>
    <mergeCell ref="I22:I23"/>
  </mergeCells>
  <pageMargins left="0.33" right="0.15748031496062992" top="0.3" bottom="0.44" header="0.36" footer="0.41"/>
  <pageSetup paperSize="10002" scale="70" orientation="landscape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71"/>
  <sheetViews>
    <sheetView zoomScaleNormal="100" workbookViewId="0">
      <selection activeCell="H24" sqref="H24"/>
    </sheetView>
  </sheetViews>
  <sheetFormatPr defaultRowHeight="15" x14ac:dyDescent="0.25"/>
  <cols>
    <col min="1" max="1" width="2.85546875" style="8" customWidth="1"/>
    <col min="2" max="2" width="32" style="8" customWidth="1"/>
    <col min="3" max="3" width="15.140625" style="63" customWidth="1"/>
    <col min="4" max="4" width="23" style="8" customWidth="1"/>
    <col min="5" max="5" width="8.85546875" style="8" customWidth="1"/>
    <col min="6" max="6" width="15.28515625" style="3" customWidth="1"/>
    <col min="7" max="7" width="11.42578125" style="3" customWidth="1"/>
    <col min="8" max="8" width="12.140625" style="3" customWidth="1"/>
    <col min="9" max="9" width="12.42578125" style="8" customWidth="1"/>
    <col min="10" max="10" width="5" style="8" customWidth="1"/>
    <col min="11" max="11" width="12.5703125" style="8" customWidth="1"/>
    <col min="12" max="12" width="12.28515625" style="8" customWidth="1"/>
    <col min="13" max="13" width="11.5703125" style="8" customWidth="1"/>
    <col min="14" max="14" width="12.28515625" style="8" customWidth="1"/>
    <col min="15" max="15" width="12.140625" style="8" customWidth="1"/>
    <col min="16" max="16" width="4" style="8" customWidth="1"/>
    <col min="17" max="17" width="9.85546875" style="8" customWidth="1"/>
    <col min="18" max="18" width="10.5703125" style="8" customWidth="1"/>
    <col min="19" max="19" width="11.28515625" style="8" customWidth="1"/>
    <col min="20" max="20" width="16.28515625" style="8" customWidth="1"/>
    <col min="21" max="21" width="17" style="8" customWidth="1"/>
    <col min="22" max="22" width="15.7109375" style="8" bestFit="1" customWidth="1"/>
    <col min="23" max="23" width="22" style="8" customWidth="1"/>
    <col min="24" max="24" width="14" style="8" customWidth="1"/>
    <col min="25" max="25" width="22" style="8" customWidth="1"/>
    <col min="26" max="16384" width="9.140625" style="8"/>
  </cols>
  <sheetData>
    <row r="2" spans="1:23" ht="15.75" x14ac:dyDescent="0.25">
      <c r="A2" s="386" t="s">
        <v>455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</row>
    <row r="3" spans="1:23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</row>
    <row r="4" spans="1:23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</row>
    <row r="5" spans="1:23" x14ac:dyDescent="0.25">
      <c r="A5" s="8" t="s">
        <v>84</v>
      </c>
      <c r="C5" s="9" t="s">
        <v>453</v>
      </c>
      <c r="M5" s="3"/>
    </row>
    <row r="6" spans="1:23" x14ac:dyDescent="0.25">
      <c r="A6" s="8" t="s">
        <v>90</v>
      </c>
      <c r="C6" s="247" t="s">
        <v>470</v>
      </c>
      <c r="F6" s="48"/>
      <c r="I6" s="3"/>
      <c r="J6" s="50"/>
      <c r="K6" s="3"/>
      <c r="L6" s="3"/>
      <c r="M6" s="52"/>
      <c r="N6" s="51"/>
      <c r="O6" s="51"/>
      <c r="Q6" s="51"/>
      <c r="R6" s="51"/>
    </row>
    <row r="7" spans="1:23" x14ac:dyDescent="0.25">
      <c r="F7" s="62"/>
    </row>
    <row r="8" spans="1:23" ht="33" customHeight="1" x14ac:dyDescent="0.25">
      <c r="A8" s="445" t="s">
        <v>1</v>
      </c>
      <c r="B8" s="445" t="s">
        <v>21</v>
      </c>
      <c r="C8" s="367" t="s">
        <v>257</v>
      </c>
      <c r="D8" s="446" t="s">
        <v>4</v>
      </c>
      <c r="E8" s="367" t="s">
        <v>5</v>
      </c>
      <c r="F8" s="141" t="s">
        <v>22</v>
      </c>
      <c r="G8" s="448" t="s">
        <v>26</v>
      </c>
      <c r="H8" s="448" t="s">
        <v>179</v>
      </c>
      <c r="I8" s="445" t="s">
        <v>264</v>
      </c>
      <c r="J8" s="445"/>
      <c r="K8" s="445"/>
      <c r="L8" s="445" t="s">
        <v>24</v>
      </c>
      <c r="M8" s="445"/>
      <c r="N8" s="445"/>
      <c r="O8" s="437" t="s">
        <v>25</v>
      </c>
      <c r="P8" s="438" t="s">
        <v>27</v>
      </c>
      <c r="Q8" s="439"/>
      <c r="R8" s="437" t="s">
        <v>28</v>
      </c>
      <c r="S8" s="437" t="s">
        <v>29</v>
      </c>
    </row>
    <row r="9" spans="1:23" ht="62.25" customHeight="1" x14ac:dyDescent="0.25">
      <c r="A9" s="445"/>
      <c r="B9" s="445"/>
      <c r="C9" s="368"/>
      <c r="D9" s="447"/>
      <c r="E9" s="368"/>
      <c r="F9" s="18" t="s">
        <v>439</v>
      </c>
      <c r="G9" s="449"/>
      <c r="H9" s="449"/>
      <c r="I9" s="256" t="s">
        <v>421</v>
      </c>
      <c r="J9" s="252" t="s">
        <v>265</v>
      </c>
      <c r="K9" s="256" t="s">
        <v>8</v>
      </c>
      <c r="L9" s="256" t="s">
        <v>422</v>
      </c>
      <c r="M9" s="252" t="s">
        <v>30</v>
      </c>
      <c r="N9" s="256" t="s">
        <v>8</v>
      </c>
      <c r="O9" s="437"/>
      <c r="P9" s="440"/>
      <c r="Q9" s="441"/>
      <c r="R9" s="437"/>
      <c r="S9" s="437"/>
    </row>
    <row r="10" spans="1:23" s="1" customFormat="1" x14ac:dyDescent="0.25">
      <c r="A10" s="10">
        <v>1</v>
      </c>
      <c r="B10" s="10">
        <v>2</v>
      </c>
      <c r="C10" s="10">
        <v>3</v>
      </c>
      <c r="D10" s="253">
        <v>4</v>
      </c>
      <c r="E10" s="253">
        <v>5</v>
      </c>
      <c r="F10" s="7">
        <v>6</v>
      </c>
      <c r="G10" s="7" t="s">
        <v>342</v>
      </c>
      <c r="H10" s="7" t="s">
        <v>343</v>
      </c>
      <c r="I10" s="10" t="s">
        <v>423</v>
      </c>
      <c r="J10" s="10">
        <v>10</v>
      </c>
      <c r="K10" s="136" t="s">
        <v>344</v>
      </c>
      <c r="L10" s="10" t="s">
        <v>424</v>
      </c>
      <c r="M10" s="10">
        <v>13</v>
      </c>
      <c r="N10" s="10" t="s">
        <v>345</v>
      </c>
      <c r="O10" s="10" t="s">
        <v>346</v>
      </c>
      <c r="P10" s="442">
        <v>16</v>
      </c>
      <c r="Q10" s="443"/>
      <c r="R10" s="10" t="s">
        <v>347</v>
      </c>
      <c r="S10" s="254">
        <v>18</v>
      </c>
    </row>
    <row r="11" spans="1:23" ht="9" customHeight="1" x14ac:dyDescent="0.25">
      <c r="A11" s="168"/>
      <c r="B11" s="67"/>
      <c r="C11" s="248"/>
      <c r="D11" s="248"/>
      <c r="E11" s="184"/>
      <c r="F11" s="249"/>
      <c r="G11" s="249"/>
      <c r="H11" s="249"/>
      <c r="I11" s="249"/>
      <c r="J11" s="250"/>
      <c r="K11" s="249"/>
      <c r="L11" s="249"/>
      <c r="M11" s="249"/>
      <c r="N11" s="249"/>
      <c r="O11" s="249"/>
      <c r="P11" s="250"/>
      <c r="Q11" s="249"/>
      <c r="R11" s="249"/>
      <c r="S11" s="83"/>
      <c r="T11" s="251"/>
      <c r="U11" s="251"/>
      <c r="V11" s="29"/>
    </row>
    <row r="12" spans="1:23" ht="15" customHeight="1" x14ac:dyDescent="0.25">
      <c r="A12" s="134">
        <v>1</v>
      </c>
      <c r="B12" s="44" t="s">
        <v>465</v>
      </c>
      <c r="C12" s="351" t="s">
        <v>258</v>
      </c>
      <c r="D12" s="367" t="s">
        <v>469</v>
      </c>
      <c r="E12" s="451">
        <f>SUM('PK PNS'!E10:E11)</f>
        <v>9020</v>
      </c>
      <c r="F12" s="423">
        <v>453089</v>
      </c>
      <c r="G12" s="423">
        <f t="shared" ref="G12" si="0">SUM(F12*1%)</f>
        <v>4530.8900000000003</v>
      </c>
      <c r="H12" s="423">
        <f t="shared" ref="H12" si="1">SUM(F12-G12)</f>
        <v>448558.11</v>
      </c>
      <c r="I12" s="423">
        <f>SUM(H12*60%)</f>
        <v>269134.86599999998</v>
      </c>
      <c r="J12" s="425">
        <f>SUM('PK PNS'!I10:I11)</f>
        <v>1</v>
      </c>
      <c r="K12" s="423">
        <f t="shared" ref="K12" si="2">SUM(I12*J12)</f>
        <v>269134.86599999998</v>
      </c>
      <c r="L12" s="423">
        <f>SUM(H12*40%)</f>
        <v>179423.24400000001</v>
      </c>
      <c r="M12" s="423">
        <f>SUM(L12*Tabel_Perhitungan!AB12)</f>
        <v>0</v>
      </c>
      <c r="N12" s="423">
        <f t="shared" ref="N12" si="3">SUM(L12-M12)</f>
        <v>179423.24400000001</v>
      </c>
      <c r="O12" s="423">
        <f t="shared" ref="O12" si="4">SUM(K12+N12)</f>
        <v>448558.11</v>
      </c>
      <c r="P12" s="425">
        <v>0.15</v>
      </c>
      <c r="Q12" s="423">
        <f t="shared" ref="Q12" si="5">SUM(O12*P12)</f>
        <v>67283.716499999995</v>
      </c>
      <c r="R12" s="423">
        <f t="shared" ref="R12" si="6">SUM(O12-Q12)</f>
        <v>381274.39350000001</v>
      </c>
      <c r="S12" s="82">
        <v>1</v>
      </c>
      <c r="T12" s="427"/>
      <c r="U12" s="427"/>
      <c r="V12" s="172"/>
      <c r="W12" s="4"/>
    </row>
    <row r="13" spans="1:23" ht="15" customHeight="1" x14ac:dyDescent="0.25">
      <c r="A13" s="101"/>
      <c r="B13" s="316" t="s">
        <v>468</v>
      </c>
      <c r="C13" s="352"/>
      <c r="D13" s="368"/>
      <c r="E13" s="452"/>
      <c r="F13" s="424"/>
      <c r="G13" s="424"/>
      <c r="H13" s="424"/>
      <c r="I13" s="424"/>
      <c r="J13" s="426"/>
      <c r="K13" s="424"/>
      <c r="L13" s="424"/>
      <c r="M13" s="424"/>
      <c r="N13" s="424"/>
      <c r="O13" s="424"/>
      <c r="P13" s="426"/>
      <c r="Q13" s="424"/>
      <c r="R13" s="424"/>
      <c r="S13" s="83"/>
      <c r="T13" s="427"/>
      <c r="U13" s="427"/>
      <c r="V13" s="172"/>
      <c r="W13" s="4"/>
    </row>
    <row r="14" spans="1:23" ht="19.5" customHeight="1" x14ac:dyDescent="0.25">
      <c r="A14" s="201"/>
      <c r="B14" s="190"/>
      <c r="C14" s="353"/>
      <c r="D14" s="351"/>
      <c r="E14" s="198"/>
      <c r="F14" s="423"/>
      <c r="G14" s="423"/>
      <c r="H14" s="423"/>
      <c r="I14" s="423"/>
      <c r="J14" s="425"/>
      <c r="K14" s="423"/>
      <c r="L14" s="423"/>
      <c r="M14" s="423"/>
      <c r="N14" s="423"/>
      <c r="O14" s="423"/>
      <c r="P14" s="425"/>
      <c r="Q14" s="423"/>
      <c r="R14" s="423"/>
      <c r="S14" s="245"/>
      <c r="T14" s="427"/>
      <c r="U14" s="427"/>
      <c r="V14" s="172"/>
      <c r="W14" s="4"/>
    </row>
    <row r="15" spans="1:23" ht="19.5" customHeight="1" x14ac:dyDescent="0.25">
      <c r="A15" s="193"/>
      <c r="B15" s="191"/>
      <c r="C15" s="354"/>
      <c r="D15" s="352"/>
      <c r="E15" s="193"/>
      <c r="F15" s="424"/>
      <c r="G15" s="424"/>
      <c r="H15" s="424"/>
      <c r="I15" s="424"/>
      <c r="J15" s="426"/>
      <c r="K15" s="424"/>
      <c r="L15" s="424"/>
      <c r="M15" s="424"/>
      <c r="N15" s="424"/>
      <c r="O15" s="424"/>
      <c r="P15" s="424"/>
      <c r="Q15" s="424"/>
      <c r="R15" s="424"/>
      <c r="S15" s="246"/>
      <c r="T15" s="427"/>
      <c r="U15" s="427"/>
      <c r="V15" s="172"/>
      <c r="W15" s="4"/>
    </row>
    <row r="16" spans="1:23" ht="19.5" customHeight="1" x14ac:dyDescent="0.25">
      <c r="A16" s="193"/>
      <c r="B16" s="433" t="s">
        <v>8</v>
      </c>
      <c r="C16" s="434"/>
      <c r="D16" s="434"/>
      <c r="E16" s="194"/>
      <c r="F16" s="195">
        <f>SUM(F12:F15)</f>
        <v>453089</v>
      </c>
      <c r="G16" s="196">
        <f>SUM(G12:G13)</f>
        <v>4530.8900000000003</v>
      </c>
      <c r="H16" s="196">
        <f>SUM(H12:H13)</f>
        <v>448558.11</v>
      </c>
      <c r="I16" s="195">
        <f>SUM(I12:I13)</f>
        <v>269134.86599999998</v>
      </c>
      <c r="J16" s="197"/>
      <c r="K16" s="195">
        <f>SUM(K12:K13)</f>
        <v>269134.86599999998</v>
      </c>
      <c r="L16" s="195">
        <f>SUM(L12:L13)</f>
        <v>179423.24400000001</v>
      </c>
      <c r="M16" s="195">
        <f>SUM(M12:M13)</f>
        <v>0</v>
      </c>
      <c r="N16" s="196">
        <f>SUM(N12:N13)</f>
        <v>179423.24400000001</v>
      </c>
      <c r="O16" s="196">
        <f>SUM(O12:O13)</f>
        <v>448558.11</v>
      </c>
      <c r="P16" s="435">
        <f>SUM(Q12:Q13)</f>
        <v>67283.716499999995</v>
      </c>
      <c r="Q16" s="436"/>
      <c r="R16" s="195">
        <f>SUM(R12:R13)</f>
        <v>381274.39350000001</v>
      </c>
      <c r="S16" s="83"/>
      <c r="T16" s="427"/>
      <c r="U16" s="427"/>
      <c r="V16" s="172"/>
      <c r="W16" s="4"/>
    </row>
    <row r="17" spans="2:26" ht="19.5" customHeight="1" x14ac:dyDescent="0.25">
      <c r="C17" s="5"/>
      <c r="D17" s="4"/>
      <c r="F17" s="53"/>
      <c r="G17" s="48"/>
      <c r="H17" s="48"/>
      <c r="I17" s="4"/>
      <c r="J17" s="4"/>
      <c r="K17" s="4"/>
      <c r="L17" s="4"/>
      <c r="M17" s="4"/>
      <c r="N17" s="4"/>
      <c r="O17" s="4"/>
      <c r="P17" s="4"/>
      <c r="Q17" s="4"/>
      <c r="R17" s="72"/>
      <c r="S17" s="170"/>
      <c r="T17" s="427"/>
      <c r="U17" s="427"/>
      <c r="V17" s="172"/>
      <c r="W17" s="4"/>
    </row>
    <row r="18" spans="2:26" ht="19.5" customHeight="1" x14ac:dyDescent="0.25">
      <c r="F18" s="48"/>
      <c r="G18" s="171"/>
      <c r="H18" s="251"/>
      <c r="I18" s="71"/>
      <c r="M18" s="79"/>
      <c r="O18" s="68"/>
      <c r="R18" s="29"/>
      <c r="S18" s="167"/>
      <c r="T18" s="427"/>
      <c r="U18" s="427"/>
      <c r="V18" s="172"/>
      <c r="W18" s="4"/>
    </row>
    <row r="19" spans="2:26" ht="19.5" customHeight="1" x14ac:dyDescent="0.25">
      <c r="C19" s="8"/>
      <c r="F19" s="186"/>
      <c r="G19" s="8"/>
      <c r="H19" s="186"/>
      <c r="N19" s="15"/>
      <c r="O19" s="146" t="s">
        <v>532</v>
      </c>
      <c r="P19" s="146"/>
      <c r="Q19" s="146"/>
      <c r="R19" s="146"/>
      <c r="S19" s="22"/>
      <c r="T19" s="427"/>
      <c r="U19" s="427"/>
      <c r="V19" s="172"/>
      <c r="W19" s="4"/>
    </row>
    <row r="20" spans="2:26" ht="16.5" customHeight="1" x14ac:dyDescent="0.25">
      <c r="C20" s="8"/>
      <c r="F20" s="186"/>
      <c r="G20" s="8"/>
      <c r="H20" s="186"/>
      <c r="N20" s="15"/>
      <c r="O20" s="146"/>
      <c r="P20" s="146"/>
      <c r="Q20" s="15"/>
      <c r="R20" s="146"/>
      <c r="S20" s="23"/>
      <c r="T20" s="427"/>
      <c r="U20" s="427"/>
      <c r="V20" s="172"/>
      <c r="W20" s="4"/>
    </row>
    <row r="21" spans="2:26" ht="16.5" customHeight="1" x14ac:dyDescent="0.25">
      <c r="C21" s="8"/>
      <c r="F21" s="186"/>
      <c r="G21" s="188"/>
      <c r="H21" s="186"/>
      <c r="N21" s="21"/>
      <c r="O21" s="100" t="s">
        <v>440</v>
      </c>
      <c r="P21" s="100"/>
      <c r="Q21" s="21"/>
      <c r="R21" s="146"/>
      <c r="S21" s="146"/>
      <c r="T21" s="251"/>
      <c r="U21" s="427"/>
      <c r="V21" s="172"/>
      <c r="W21" s="4"/>
    </row>
    <row r="22" spans="2:26" ht="16.5" customHeight="1" x14ac:dyDescent="0.25">
      <c r="C22" s="8"/>
      <c r="F22" s="186"/>
      <c r="G22" s="188"/>
      <c r="H22" s="186"/>
      <c r="N22" s="15"/>
      <c r="O22" s="100" t="s">
        <v>441</v>
      </c>
      <c r="P22" s="100"/>
      <c r="Q22" s="15"/>
      <c r="R22" s="146"/>
      <c r="S22" s="15"/>
      <c r="T22" s="251"/>
      <c r="U22" s="427"/>
      <c r="V22" s="172"/>
      <c r="W22" s="4"/>
    </row>
    <row r="23" spans="2:26" ht="15.75" customHeight="1" x14ac:dyDescent="0.25">
      <c r="C23" s="8"/>
      <c r="F23" s="186"/>
      <c r="G23" s="188"/>
      <c r="H23" s="186"/>
      <c r="N23" s="15"/>
      <c r="O23" s="100"/>
      <c r="P23" s="100"/>
      <c r="Q23" s="15"/>
      <c r="R23" s="140"/>
      <c r="S23" s="257"/>
      <c r="T23" s="23"/>
      <c r="U23" s="23"/>
      <c r="V23" s="172"/>
      <c r="W23" s="4"/>
    </row>
    <row r="24" spans="2:26" ht="18" customHeight="1" x14ac:dyDescent="0.25">
      <c r="C24" s="8"/>
      <c r="F24" s="186"/>
      <c r="G24" s="188"/>
      <c r="H24" s="186"/>
      <c r="N24" s="15"/>
      <c r="O24" s="100"/>
      <c r="P24" s="100"/>
      <c r="Q24" s="15"/>
      <c r="R24" s="140"/>
      <c r="S24" s="15"/>
      <c r="T24" s="29"/>
      <c r="U24" s="23"/>
      <c r="Z24" s="63"/>
    </row>
    <row r="25" spans="2:26" ht="15" customHeight="1" x14ac:dyDescent="0.25">
      <c r="C25" s="8"/>
      <c r="F25" s="186"/>
      <c r="G25" s="188"/>
      <c r="H25" s="188"/>
      <c r="N25" s="15"/>
      <c r="O25" s="100"/>
      <c r="P25" s="100"/>
      <c r="Q25" s="15"/>
      <c r="R25" s="140"/>
      <c r="S25" s="15"/>
      <c r="T25" s="29"/>
      <c r="U25" s="29"/>
    </row>
    <row r="26" spans="2:26" ht="15.75" customHeight="1" x14ac:dyDescent="0.25">
      <c r="C26" s="8"/>
      <c r="F26" s="186"/>
      <c r="G26" s="188"/>
      <c r="H26" s="188"/>
      <c r="N26" s="15"/>
      <c r="O26" s="336" t="s">
        <v>465</v>
      </c>
      <c r="P26" s="336"/>
      <c r="Q26" s="336"/>
      <c r="R26" s="336"/>
      <c r="S26" s="336"/>
      <c r="T26" s="146"/>
      <c r="Y26" s="63"/>
    </row>
    <row r="27" spans="2:26" ht="15.75" customHeight="1" x14ac:dyDescent="0.25">
      <c r="C27" s="8"/>
      <c r="F27" s="186"/>
      <c r="G27" s="188"/>
      <c r="H27" s="188"/>
      <c r="I27" s="188"/>
      <c r="N27" s="15"/>
      <c r="O27" s="100" t="s">
        <v>93</v>
      </c>
      <c r="P27" s="100" t="s">
        <v>338</v>
      </c>
      <c r="Q27" s="15"/>
      <c r="R27" s="146"/>
      <c r="S27" s="15"/>
      <c r="U27" s="29"/>
      <c r="V27" s="29"/>
      <c r="W27" s="29"/>
      <c r="X27" s="29"/>
      <c r="Y27" s="29"/>
    </row>
    <row r="28" spans="2:26" ht="15.75" customHeight="1" x14ac:dyDescent="0.25">
      <c r="C28" s="8"/>
      <c r="D28" s="188"/>
      <c r="E28" s="188"/>
      <c r="F28" s="188"/>
      <c r="G28" s="188"/>
      <c r="H28" s="188"/>
      <c r="I28" s="188"/>
      <c r="N28" s="15"/>
      <c r="O28" s="100" t="s">
        <v>94</v>
      </c>
      <c r="P28" s="100" t="s">
        <v>442</v>
      </c>
      <c r="Q28" s="15"/>
      <c r="R28" s="146"/>
      <c r="S28" s="15"/>
      <c r="W28" s="29"/>
      <c r="Y28" s="29"/>
    </row>
    <row r="29" spans="2:26" ht="16.5" customHeight="1" x14ac:dyDescent="0.25">
      <c r="C29" s="8"/>
      <c r="F29" s="186"/>
      <c r="G29" s="8"/>
      <c r="H29" s="186"/>
      <c r="I29" s="188"/>
      <c r="S29" s="15"/>
      <c r="U29" s="29"/>
      <c r="V29" s="29"/>
      <c r="W29" s="29"/>
      <c r="X29" s="29"/>
      <c r="Y29" s="29"/>
    </row>
    <row r="30" spans="2:26" ht="15.75" customHeight="1" x14ac:dyDescent="0.25">
      <c r="B30" s="186"/>
      <c r="C30" s="187"/>
      <c r="F30" s="186"/>
      <c r="G30" s="8"/>
      <c r="H30" s="186"/>
      <c r="I30" s="188"/>
      <c r="S30" s="15"/>
      <c r="W30" s="29"/>
      <c r="Y30" s="29"/>
    </row>
    <row r="31" spans="2:26" ht="15.75" customHeight="1" x14ac:dyDescent="0.25">
      <c r="C31" s="8"/>
      <c r="F31" s="186"/>
      <c r="G31" s="188"/>
      <c r="H31" s="188"/>
      <c r="I31" s="188"/>
      <c r="U31" s="29"/>
      <c r="V31" s="29"/>
      <c r="W31" s="29"/>
      <c r="X31" s="29"/>
      <c r="Y31" s="29"/>
    </row>
    <row r="32" spans="2:26" ht="15.75" customHeight="1" x14ac:dyDescent="0.25">
      <c r="C32" s="8"/>
      <c r="F32" s="186"/>
      <c r="G32" s="188"/>
      <c r="H32" s="188"/>
      <c r="I32" s="188"/>
      <c r="Y32" s="29"/>
    </row>
    <row r="33" spans="7:25" ht="18" customHeight="1" x14ac:dyDescent="0.25">
      <c r="G33" s="251"/>
      <c r="H33" s="251"/>
      <c r="U33" s="29"/>
      <c r="V33" s="29"/>
      <c r="W33" s="29"/>
      <c r="X33" s="29"/>
      <c r="Y33" s="29"/>
    </row>
    <row r="34" spans="7:25" ht="16.5" customHeight="1" x14ac:dyDescent="0.25">
      <c r="G34" s="251"/>
      <c r="H34" s="251"/>
    </row>
    <row r="35" spans="7:25" ht="13.5" customHeight="1" x14ac:dyDescent="0.25">
      <c r="G35" s="251"/>
      <c r="H35" s="251"/>
      <c r="W35" s="158"/>
    </row>
    <row r="36" spans="7:25" x14ac:dyDescent="0.25">
      <c r="G36" s="251"/>
      <c r="H36" s="251"/>
      <c r="W36" s="29"/>
    </row>
    <row r="37" spans="7:25" x14ac:dyDescent="0.25">
      <c r="G37" s="251"/>
      <c r="H37" s="251"/>
    </row>
    <row r="38" spans="7:25" x14ac:dyDescent="0.25">
      <c r="G38" s="251"/>
      <c r="H38" s="251"/>
    </row>
    <row r="39" spans="7:25" x14ac:dyDescent="0.25">
      <c r="G39" s="251"/>
      <c r="H39" s="251"/>
    </row>
    <row r="40" spans="7:25" x14ac:dyDescent="0.25">
      <c r="G40" s="251"/>
      <c r="H40" s="251"/>
    </row>
    <row r="41" spans="7:25" x14ac:dyDescent="0.25">
      <c r="G41" s="251"/>
      <c r="H41" s="251"/>
    </row>
    <row r="42" spans="7:25" x14ac:dyDescent="0.25">
      <c r="G42" s="251"/>
      <c r="H42" s="251"/>
    </row>
    <row r="43" spans="7:25" x14ac:dyDescent="0.25">
      <c r="G43" s="251"/>
      <c r="H43" s="251"/>
    </row>
    <row r="44" spans="7:25" x14ac:dyDescent="0.25">
      <c r="G44" s="251"/>
      <c r="H44" s="251"/>
    </row>
    <row r="45" spans="7:25" x14ac:dyDescent="0.25">
      <c r="G45" s="251"/>
      <c r="H45" s="251"/>
    </row>
    <row r="46" spans="7:25" x14ac:dyDescent="0.25">
      <c r="G46" s="251"/>
      <c r="H46" s="251"/>
    </row>
    <row r="47" spans="7:25" x14ac:dyDescent="0.25">
      <c r="G47" s="251"/>
      <c r="H47" s="251"/>
    </row>
    <row r="48" spans="7:25" x14ac:dyDescent="0.25">
      <c r="G48" s="251"/>
      <c r="H48" s="251"/>
    </row>
    <row r="49" spans="7:25" x14ac:dyDescent="0.25">
      <c r="G49" s="251"/>
      <c r="H49" s="251"/>
    </row>
    <row r="50" spans="7:25" x14ac:dyDescent="0.25">
      <c r="G50" s="251"/>
      <c r="H50" s="251"/>
    </row>
    <row r="51" spans="7:25" x14ac:dyDescent="0.25">
      <c r="G51" s="251"/>
      <c r="H51" s="251"/>
      <c r="T51" s="29"/>
      <c r="U51" s="8" t="s">
        <v>333</v>
      </c>
      <c r="V51" s="8" t="s">
        <v>334</v>
      </c>
      <c r="W51" s="8" t="s">
        <v>335</v>
      </c>
      <c r="X51" s="8" t="s">
        <v>336</v>
      </c>
      <c r="Y51" s="63" t="s">
        <v>337</v>
      </c>
    </row>
    <row r="52" spans="7:25" x14ac:dyDescent="0.25">
      <c r="G52" s="251"/>
      <c r="H52" s="251"/>
      <c r="U52" s="29"/>
      <c r="V52" s="29"/>
      <c r="W52" s="29"/>
      <c r="X52" s="29"/>
      <c r="Y52" s="29"/>
    </row>
    <row r="53" spans="7:25" x14ac:dyDescent="0.25">
      <c r="G53" s="251"/>
      <c r="H53" s="251"/>
      <c r="U53" s="29"/>
      <c r="V53" s="29"/>
      <c r="W53" s="29"/>
      <c r="X53" s="29"/>
      <c r="Y53" s="29"/>
    </row>
    <row r="54" spans="7:25" x14ac:dyDescent="0.25">
      <c r="G54" s="23"/>
      <c r="H54" s="23"/>
      <c r="T54" s="29"/>
      <c r="U54" s="29"/>
      <c r="V54" s="29"/>
      <c r="W54" s="29"/>
      <c r="X54" s="29"/>
      <c r="Y54" s="29"/>
    </row>
    <row r="55" spans="7:25" x14ac:dyDescent="0.25">
      <c r="G55" s="6"/>
      <c r="H55" s="6"/>
      <c r="T55" s="144"/>
      <c r="U55" s="145"/>
      <c r="V55" s="145"/>
      <c r="W55" s="145"/>
      <c r="X55" s="145"/>
      <c r="Y55" s="147"/>
    </row>
    <row r="56" spans="7:25" x14ac:dyDescent="0.25">
      <c r="G56" s="6"/>
      <c r="H56" s="6"/>
      <c r="T56" s="29"/>
    </row>
    <row r="57" spans="7:25" x14ac:dyDescent="0.25">
      <c r="G57" s="6"/>
      <c r="H57" s="6"/>
      <c r="T57" s="29"/>
      <c r="U57" s="29"/>
    </row>
    <row r="58" spans="7:25" x14ac:dyDescent="0.25">
      <c r="G58" s="6"/>
      <c r="H58" s="6"/>
      <c r="T58" s="29"/>
      <c r="U58" s="29"/>
    </row>
    <row r="59" spans="7:25" x14ac:dyDescent="0.25">
      <c r="G59" s="6"/>
      <c r="H59" s="6"/>
      <c r="T59" s="29"/>
      <c r="U59" s="29"/>
      <c r="V59" s="29"/>
    </row>
    <row r="60" spans="7:25" x14ac:dyDescent="0.25">
      <c r="G60" s="6"/>
      <c r="H60" s="6"/>
      <c r="U60" s="29"/>
    </row>
    <row r="61" spans="7:25" x14ac:dyDescent="0.25">
      <c r="G61" s="6"/>
      <c r="H61" s="6"/>
    </row>
    <row r="62" spans="7:25" x14ac:dyDescent="0.25">
      <c r="G62" s="6"/>
      <c r="H62" s="6"/>
      <c r="T62" s="29"/>
      <c r="U62" s="29"/>
      <c r="V62" s="29"/>
      <c r="Y62" s="63"/>
    </row>
    <row r="63" spans="7:25" x14ac:dyDescent="0.25">
      <c r="G63" s="6"/>
      <c r="H63" s="6"/>
      <c r="U63" s="29"/>
      <c r="V63" s="29"/>
      <c r="W63" s="29"/>
      <c r="X63" s="29"/>
      <c r="Y63" s="29"/>
    </row>
    <row r="64" spans="7:25" x14ac:dyDescent="0.25">
      <c r="G64" s="6"/>
      <c r="H64" s="6"/>
      <c r="U64" s="29"/>
      <c r="V64" s="29"/>
      <c r="W64" s="29"/>
      <c r="X64" s="29"/>
      <c r="Y64" s="29"/>
    </row>
    <row r="65" spans="7:25" x14ac:dyDescent="0.25">
      <c r="G65" s="6"/>
      <c r="H65" s="6"/>
      <c r="T65" s="29"/>
      <c r="U65" s="29"/>
      <c r="V65" s="29"/>
      <c r="W65" s="29"/>
      <c r="X65" s="29"/>
      <c r="Y65" s="29"/>
    </row>
    <row r="66" spans="7:25" x14ac:dyDescent="0.25">
      <c r="G66" s="6"/>
      <c r="H66" s="6"/>
      <c r="T66" s="144"/>
      <c r="U66" s="145"/>
      <c r="V66" s="145"/>
      <c r="W66" s="145"/>
      <c r="X66" s="145"/>
      <c r="Y66" s="29"/>
    </row>
    <row r="67" spans="7:25" x14ac:dyDescent="0.25">
      <c r="G67" s="6"/>
      <c r="H67" s="6"/>
      <c r="T67" s="29"/>
    </row>
    <row r="68" spans="7:25" x14ac:dyDescent="0.25">
      <c r="G68" s="6"/>
      <c r="H68" s="6"/>
      <c r="T68" s="29"/>
      <c r="U68" s="29"/>
    </row>
    <row r="69" spans="7:25" x14ac:dyDescent="0.25">
      <c r="G69" s="6"/>
      <c r="H69" s="6"/>
      <c r="T69" s="29"/>
      <c r="U69" s="29"/>
    </row>
    <row r="70" spans="7:25" x14ac:dyDescent="0.25">
      <c r="T70" s="29"/>
      <c r="U70" s="29"/>
      <c r="V70" s="29"/>
    </row>
    <row r="71" spans="7:25" x14ac:dyDescent="0.25">
      <c r="U71" s="29"/>
    </row>
  </sheetData>
  <mergeCells count="55">
    <mergeCell ref="S8:S9"/>
    <mergeCell ref="P10:Q10"/>
    <mergeCell ref="A2:S2"/>
    <mergeCell ref="A3:S3"/>
    <mergeCell ref="A8:A9"/>
    <mergeCell ref="B8:B9"/>
    <mergeCell ref="C8:C9"/>
    <mergeCell ref="D8:D9"/>
    <mergeCell ref="E8:E9"/>
    <mergeCell ref="G8:G9"/>
    <mergeCell ref="H8:H9"/>
    <mergeCell ref="I8:K8"/>
    <mergeCell ref="H12:H13"/>
    <mergeCell ref="L8:N8"/>
    <mergeCell ref="O8:O9"/>
    <mergeCell ref="P8:Q9"/>
    <mergeCell ref="R8:R9"/>
    <mergeCell ref="C12:C13"/>
    <mergeCell ref="D12:D13"/>
    <mergeCell ref="E12:E13"/>
    <mergeCell ref="F12:F13"/>
    <mergeCell ref="G12:G13"/>
    <mergeCell ref="U12:U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T12:T13"/>
    <mergeCell ref="O14:O15"/>
    <mergeCell ref="P14:P15"/>
    <mergeCell ref="Q14:Q15"/>
    <mergeCell ref="R14:R15"/>
    <mergeCell ref="O26:S26"/>
    <mergeCell ref="B16:D16"/>
    <mergeCell ref="P16:Q16"/>
    <mergeCell ref="U21:U22"/>
    <mergeCell ref="C14:C15"/>
    <mergeCell ref="D14:D15"/>
    <mergeCell ref="F14:F15"/>
    <mergeCell ref="G14:G15"/>
    <mergeCell ref="H14:H15"/>
    <mergeCell ref="I14:I15"/>
    <mergeCell ref="J14:J15"/>
    <mergeCell ref="T14:T20"/>
    <mergeCell ref="U14:U20"/>
    <mergeCell ref="K14:K15"/>
    <mergeCell ref="L14:L15"/>
    <mergeCell ref="M14:M15"/>
    <mergeCell ref="N14:N15"/>
  </mergeCells>
  <pageMargins left="0.33" right="0.15748031496062992" top="0.59055118110236227" bottom="0.44" header="0.59055118110236227" footer="0.41"/>
  <pageSetup paperSize="10002" scale="70" orientation="landscape" horizontalDpi="4294967293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171"/>
  <sheetViews>
    <sheetView tabSelected="1" topLeftCell="A93" zoomScaleNormal="100" workbookViewId="0">
      <selection activeCell="T133" sqref="T133"/>
    </sheetView>
  </sheetViews>
  <sheetFormatPr defaultRowHeight="15" x14ac:dyDescent="0.25"/>
  <cols>
    <col min="1" max="1" width="2.85546875" style="8" customWidth="1"/>
    <col min="2" max="2" width="29.7109375" style="8" customWidth="1"/>
    <col min="3" max="3" width="12.140625" style="63" customWidth="1"/>
    <col min="4" max="4" width="21.140625" style="8" customWidth="1"/>
    <col min="5" max="5" width="7.85546875" style="8" customWidth="1"/>
    <col min="6" max="6" width="15.28515625" style="3" customWidth="1"/>
    <col min="7" max="7" width="11.140625" style="3" customWidth="1"/>
    <col min="8" max="8" width="13.5703125" style="3" customWidth="1"/>
    <col min="9" max="9" width="11.42578125" style="3" customWidth="1"/>
    <col min="10" max="10" width="12.140625" style="3" customWidth="1"/>
    <col min="11" max="11" width="12.42578125" style="8" customWidth="1"/>
    <col min="12" max="12" width="5" style="8" customWidth="1"/>
    <col min="13" max="13" width="12.5703125" style="8" customWidth="1"/>
    <col min="14" max="14" width="12.28515625" style="8" customWidth="1"/>
    <col min="15" max="15" width="10.140625" style="8" customWidth="1"/>
    <col min="16" max="16" width="11.7109375" style="8" customWidth="1"/>
    <col min="17" max="17" width="12.140625" style="8" customWidth="1"/>
    <col min="18" max="18" width="4" style="8" customWidth="1"/>
    <col min="19" max="19" width="9.85546875" style="8" customWidth="1"/>
    <col min="20" max="20" width="12.42578125" style="8" customWidth="1"/>
    <col min="21" max="21" width="8.28515625" style="8" customWidth="1"/>
    <col min="22" max="22" width="16.28515625" style="8" customWidth="1"/>
    <col min="23" max="23" width="17" style="8" customWidth="1"/>
    <col min="24" max="24" width="16.140625" style="8" customWidth="1"/>
    <col min="25" max="25" width="14.28515625" style="8" customWidth="1"/>
    <col min="26" max="26" width="9.140625" style="8"/>
    <col min="27" max="27" width="28.28515625" style="8" customWidth="1"/>
    <col min="28" max="28" width="21.85546875" style="8" customWidth="1"/>
    <col min="29" max="29" width="12.85546875" style="8" bestFit="1" customWidth="1"/>
    <col min="30" max="30" width="16.85546875" style="8" customWidth="1"/>
    <col min="31" max="31" width="15" style="8" customWidth="1"/>
    <col min="32" max="32" width="17.42578125" style="8" customWidth="1"/>
    <col min="33" max="16384" width="9.140625" style="8"/>
  </cols>
  <sheetData>
    <row r="2" spans="1:28" ht="15.75" x14ac:dyDescent="0.25">
      <c r="A2" s="386" t="s">
        <v>456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</row>
    <row r="3" spans="1:28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</row>
    <row r="4" spans="1:28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</row>
    <row r="5" spans="1:28" x14ac:dyDescent="0.25">
      <c r="A5" s="8" t="s">
        <v>84</v>
      </c>
      <c r="C5" s="9" t="s">
        <v>453</v>
      </c>
      <c r="O5" s="3"/>
      <c r="W5" s="455"/>
    </row>
    <row r="6" spans="1:28" x14ac:dyDescent="0.25">
      <c r="A6" s="8" t="s">
        <v>90</v>
      </c>
      <c r="C6" s="247" t="s">
        <v>470</v>
      </c>
      <c r="F6" s="48"/>
      <c r="G6" s="48"/>
      <c r="H6" s="48"/>
      <c r="K6" s="3"/>
      <c r="L6" s="50"/>
      <c r="M6" s="3"/>
      <c r="N6" s="3"/>
      <c r="O6" s="52"/>
      <c r="P6" s="51"/>
      <c r="Q6" s="51"/>
      <c r="S6" s="51"/>
      <c r="T6" s="51"/>
      <c r="W6" s="455"/>
    </row>
    <row r="7" spans="1:28" x14ac:dyDescent="0.25">
      <c r="F7" s="62"/>
      <c r="G7" s="48"/>
      <c r="H7" s="48"/>
    </row>
    <row r="8" spans="1:28" ht="33" customHeight="1" x14ac:dyDescent="0.25">
      <c r="A8" s="445" t="s">
        <v>1</v>
      </c>
      <c r="B8" s="445" t="s">
        <v>21</v>
      </c>
      <c r="C8" s="367" t="s">
        <v>257</v>
      </c>
      <c r="D8" s="446" t="s">
        <v>4</v>
      </c>
      <c r="E8" s="367" t="s">
        <v>5</v>
      </c>
      <c r="F8" s="466" t="s">
        <v>22</v>
      </c>
      <c r="G8" s="467"/>
      <c r="H8" s="468" t="s">
        <v>443</v>
      </c>
      <c r="I8" s="448" t="s">
        <v>26</v>
      </c>
      <c r="J8" s="448" t="s">
        <v>179</v>
      </c>
      <c r="K8" s="445" t="s">
        <v>264</v>
      </c>
      <c r="L8" s="445"/>
      <c r="M8" s="445"/>
      <c r="N8" s="445" t="s">
        <v>24</v>
      </c>
      <c r="O8" s="445"/>
      <c r="P8" s="445"/>
      <c r="Q8" s="437" t="s">
        <v>25</v>
      </c>
      <c r="R8" s="438" t="s">
        <v>27</v>
      </c>
      <c r="S8" s="439"/>
      <c r="T8" s="437" t="s">
        <v>28</v>
      </c>
      <c r="U8" s="437" t="s">
        <v>29</v>
      </c>
    </row>
    <row r="9" spans="1:28" ht="62.25" customHeight="1" x14ac:dyDescent="0.25">
      <c r="A9" s="445"/>
      <c r="B9" s="445"/>
      <c r="C9" s="368"/>
      <c r="D9" s="447"/>
      <c r="E9" s="368"/>
      <c r="F9" s="18" t="s">
        <v>23</v>
      </c>
      <c r="G9" s="18" t="s">
        <v>439</v>
      </c>
      <c r="H9" s="469"/>
      <c r="I9" s="449"/>
      <c r="J9" s="449"/>
      <c r="K9" s="256" t="s">
        <v>421</v>
      </c>
      <c r="L9" s="252" t="s">
        <v>265</v>
      </c>
      <c r="M9" s="256" t="s">
        <v>8</v>
      </c>
      <c r="N9" s="256" t="s">
        <v>422</v>
      </c>
      <c r="O9" s="252" t="s">
        <v>30</v>
      </c>
      <c r="P9" s="256" t="s">
        <v>8</v>
      </c>
      <c r="Q9" s="437"/>
      <c r="R9" s="440"/>
      <c r="S9" s="441"/>
      <c r="T9" s="437"/>
      <c r="U9" s="437"/>
    </row>
    <row r="10" spans="1:28" s="1" customFormat="1" x14ac:dyDescent="0.25">
      <c r="A10" s="10">
        <v>1</v>
      </c>
      <c r="B10" s="10">
        <v>2</v>
      </c>
      <c r="C10" s="10">
        <v>3</v>
      </c>
      <c r="D10" s="253">
        <v>4</v>
      </c>
      <c r="E10" s="253">
        <v>5</v>
      </c>
      <c r="F10" s="7">
        <v>6</v>
      </c>
      <c r="G10" s="7">
        <v>8</v>
      </c>
      <c r="H10" s="7" t="s">
        <v>444</v>
      </c>
      <c r="I10" s="7" t="s">
        <v>445</v>
      </c>
      <c r="J10" s="7" t="s">
        <v>446</v>
      </c>
      <c r="K10" s="10" t="s">
        <v>447</v>
      </c>
      <c r="L10" s="10">
        <v>13</v>
      </c>
      <c r="M10" s="136" t="s">
        <v>448</v>
      </c>
      <c r="N10" s="10" t="s">
        <v>449</v>
      </c>
      <c r="O10" s="10">
        <v>16</v>
      </c>
      <c r="P10" s="10" t="s">
        <v>347</v>
      </c>
      <c r="Q10" s="10" t="s">
        <v>450</v>
      </c>
      <c r="R10" s="442" t="s">
        <v>451</v>
      </c>
      <c r="S10" s="443"/>
      <c r="T10" s="10" t="s">
        <v>452</v>
      </c>
      <c r="U10" s="254">
        <v>21</v>
      </c>
    </row>
    <row r="11" spans="1:28" ht="9" customHeight="1" x14ac:dyDescent="0.25">
      <c r="A11" s="168"/>
      <c r="B11" s="67"/>
      <c r="C11" s="248"/>
      <c r="D11" s="248"/>
      <c r="E11" s="184"/>
      <c r="F11" s="249"/>
      <c r="G11" s="249"/>
      <c r="H11" s="249"/>
      <c r="I11" s="249"/>
      <c r="J11" s="249"/>
      <c r="K11" s="249"/>
      <c r="L11" s="250"/>
      <c r="M11" s="249"/>
      <c r="N11" s="249"/>
      <c r="O11" s="249"/>
      <c r="P11" s="249"/>
      <c r="Q11" s="249"/>
      <c r="R11" s="250"/>
      <c r="S11" s="249"/>
      <c r="T11" s="249"/>
      <c r="U11" s="83"/>
      <c r="V11" s="251"/>
      <c r="W11" s="251"/>
    </row>
    <row r="12" spans="1:28" ht="15" customHeight="1" x14ac:dyDescent="0.25">
      <c r="A12" s="134">
        <v>1</v>
      </c>
      <c r="B12" s="31" t="s">
        <v>465</v>
      </c>
      <c r="C12" s="351" t="s">
        <v>258</v>
      </c>
      <c r="D12" s="367" t="s">
        <v>467</v>
      </c>
      <c r="E12" s="459">
        <f>SUM('PK PNS'!E10:E11)</f>
        <v>9020</v>
      </c>
      <c r="F12" s="423">
        <v>1288527</v>
      </c>
      <c r="G12" s="423">
        <v>453089</v>
      </c>
      <c r="H12" s="453">
        <f>SUM(F12:G13)</f>
        <v>1741616</v>
      </c>
      <c r="I12" s="423">
        <f>SUM(H12*1%)</f>
        <v>17416.16</v>
      </c>
      <c r="J12" s="423">
        <f>SUM(H12-I12)</f>
        <v>1724199.84</v>
      </c>
      <c r="K12" s="423">
        <f>SUM(J12*60%)</f>
        <v>1034519.904</v>
      </c>
      <c r="L12" s="425">
        <f>SUM('PK PNS'!I10:I11)</f>
        <v>1</v>
      </c>
      <c r="M12" s="423">
        <f t="shared" ref="M12:M76" si="0">SUM(K12*L12)</f>
        <v>1034519.904</v>
      </c>
      <c r="N12" s="423">
        <f>SUM(J12*40%)</f>
        <v>689679.9360000001</v>
      </c>
      <c r="O12" s="423">
        <f>SUM(N12*Tabel_Perhitungan!AB12)</f>
        <v>0</v>
      </c>
      <c r="P12" s="423">
        <f>SUM(N12-O12)</f>
        <v>689679.9360000001</v>
      </c>
      <c r="Q12" s="423">
        <f t="shared" ref="Q12:Q76" si="1">SUM(M12+P12)</f>
        <v>1724199.84</v>
      </c>
      <c r="R12" s="425">
        <v>0.15</v>
      </c>
      <c r="S12" s="423">
        <f t="shared" ref="S12:S76" si="2">SUM(Q12*R12)</f>
        <v>258629.976</v>
      </c>
      <c r="T12" s="423">
        <f t="shared" ref="T12:T76" si="3">SUM(Q12-S12)</f>
        <v>1465569.8640000001</v>
      </c>
      <c r="U12" s="82">
        <v>1</v>
      </c>
      <c r="V12" s="48"/>
      <c r="W12" s="331">
        <v>17416.16</v>
      </c>
      <c r="X12" s="331">
        <v>1724199.84</v>
      </c>
      <c r="Y12" s="331">
        <f>SUM(S12)</f>
        <v>258629.976</v>
      </c>
      <c r="AA12" s="267"/>
      <c r="AB12" s="29"/>
    </row>
    <row r="13" spans="1:28" ht="15" customHeight="1" x14ac:dyDescent="0.25">
      <c r="A13" s="101"/>
      <c r="B13" s="315" t="s">
        <v>468</v>
      </c>
      <c r="C13" s="352"/>
      <c r="D13" s="368"/>
      <c r="E13" s="460"/>
      <c r="F13" s="424"/>
      <c r="G13" s="424"/>
      <c r="H13" s="454"/>
      <c r="I13" s="424"/>
      <c r="J13" s="424"/>
      <c r="K13" s="424"/>
      <c r="L13" s="426"/>
      <c r="M13" s="424"/>
      <c r="N13" s="424"/>
      <c r="O13" s="424"/>
      <c r="P13" s="424"/>
      <c r="Q13" s="424"/>
      <c r="R13" s="426"/>
      <c r="S13" s="424"/>
      <c r="T13" s="424"/>
      <c r="U13" s="83"/>
      <c r="V13" s="48"/>
      <c r="W13" s="331">
        <v>11177.34</v>
      </c>
      <c r="X13" s="331">
        <v>1106556.6599999999</v>
      </c>
      <c r="Y13" s="331">
        <f>SUM(S14)</f>
        <v>165983.49899999998</v>
      </c>
      <c r="AA13" s="267"/>
    </row>
    <row r="14" spans="1:28" ht="15" customHeight="1" x14ac:dyDescent="0.25">
      <c r="A14" s="134">
        <v>2</v>
      </c>
      <c r="B14" s="31" t="s">
        <v>133</v>
      </c>
      <c r="C14" s="351" t="s">
        <v>258</v>
      </c>
      <c r="D14" s="367" t="s">
        <v>461</v>
      </c>
      <c r="E14" s="459">
        <f>SUM('PK PNS'!E12:E13)</f>
        <v>8460</v>
      </c>
      <c r="F14" s="423">
        <v>1117734</v>
      </c>
      <c r="G14" s="423">
        <v>0</v>
      </c>
      <c r="H14" s="453">
        <f>SUM(F14:G15)</f>
        <v>1117734</v>
      </c>
      <c r="I14" s="423">
        <f>SUM(H14*1%)</f>
        <v>11177.34</v>
      </c>
      <c r="J14" s="423">
        <f>SUM(H14-I14)</f>
        <v>1106556.6599999999</v>
      </c>
      <c r="K14" s="423">
        <f>SUM(J14*60%)</f>
        <v>663933.99599999993</v>
      </c>
      <c r="L14" s="425">
        <f>SUM('PK PNS'!I12:I13)</f>
        <v>1</v>
      </c>
      <c r="M14" s="423">
        <f t="shared" ref="M14" si="4">SUM(K14*L14)</f>
        <v>663933.99599999993</v>
      </c>
      <c r="N14" s="423">
        <f>SUM(J14*40%)</f>
        <v>442622.66399999999</v>
      </c>
      <c r="O14" s="423">
        <f>SUM(N14*Tabel_Perhitungan!AB14)</f>
        <v>0</v>
      </c>
      <c r="P14" s="423">
        <f>SUM(N14-O14)</f>
        <v>442622.66399999999</v>
      </c>
      <c r="Q14" s="423">
        <f t="shared" ref="Q14" si="5">SUM(M14+P14)</f>
        <v>1106556.6599999999</v>
      </c>
      <c r="R14" s="425">
        <v>0.15</v>
      </c>
      <c r="S14" s="423">
        <f t="shared" ref="S14" si="6">SUM(Q14*R14)</f>
        <v>165983.49899999998</v>
      </c>
      <c r="T14" s="423">
        <f t="shared" si="3"/>
        <v>940573.16099999996</v>
      </c>
      <c r="U14" s="82">
        <v>2</v>
      </c>
      <c r="V14" s="317"/>
      <c r="W14" s="331">
        <v>9664.32</v>
      </c>
      <c r="X14" s="331">
        <v>956767.68</v>
      </c>
      <c r="Y14" s="331"/>
      <c r="AA14" s="42"/>
    </row>
    <row r="15" spans="1:28" ht="15" customHeight="1" x14ac:dyDescent="0.25">
      <c r="A15" s="88"/>
      <c r="B15" s="34" t="s">
        <v>134</v>
      </c>
      <c r="C15" s="352"/>
      <c r="D15" s="368"/>
      <c r="E15" s="460"/>
      <c r="F15" s="424"/>
      <c r="G15" s="424"/>
      <c r="H15" s="454"/>
      <c r="I15" s="424"/>
      <c r="J15" s="424"/>
      <c r="K15" s="424"/>
      <c r="L15" s="426"/>
      <c r="M15" s="424"/>
      <c r="N15" s="424"/>
      <c r="O15" s="424"/>
      <c r="P15" s="424"/>
      <c r="Q15" s="424"/>
      <c r="R15" s="426"/>
      <c r="S15" s="424"/>
      <c r="T15" s="424"/>
      <c r="U15" s="87"/>
      <c r="V15" s="48"/>
      <c r="W15" s="331">
        <v>9664.32</v>
      </c>
      <c r="X15" s="331">
        <v>956767.68</v>
      </c>
      <c r="Y15" s="331"/>
      <c r="AA15" s="42"/>
    </row>
    <row r="16" spans="1:28" ht="15" customHeight="1" x14ac:dyDescent="0.25">
      <c r="A16" s="134">
        <v>3</v>
      </c>
      <c r="B16" s="31" t="s">
        <v>136</v>
      </c>
      <c r="C16" s="351" t="s">
        <v>259</v>
      </c>
      <c r="D16" s="351" t="s">
        <v>275</v>
      </c>
      <c r="E16" s="459">
        <f>SUM('PK PNS'!E14:E15)</f>
        <v>8400</v>
      </c>
      <c r="F16" s="423">
        <v>966432</v>
      </c>
      <c r="G16" s="463">
        <v>0</v>
      </c>
      <c r="H16" s="453">
        <f>SUM(F16:G17)</f>
        <v>966432</v>
      </c>
      <c r="I16" s="423">
        <f t="shared" ref="I16" si="7">SUM(H16*1%)</f>
        <v>9664.32</v>
      </c>
      <c r="J16" s="423">
        <f t="shared" ref="J16" si="8">SUM(H16-I16)</f>
        <v>956767.68</v>
      </c>
      <c r="K16" s="423">
        <f t="shared" ref="K16" si="9">SUM(J16*60%)</f>
        <v>574060.60800000001</v>
      </c>
      <c r="L16" s="425">
        <f>SUM('PK PNS'!I14:I15)</f>
        <v>1</v>
      </c>
      <c r="M16" s="423">
        <f t="shared" si="0"/>
        <v>574060.60800000001</v>
      </c>
      <c r="N16" s="423">
        <f t="shared" ref="N16" si="10">SUM(J16*40%)</f>
        <v>382707.07200000004</v>
      </c>
      <c r="O16" s="423">
        <f>SUM(N16*Tabel_Perhitungan!AB16)</f>
        <v>0</v>
      </c>
      <c r="P16" s="423">
        <f t="shared" ref="P16" si="11">SUM(N16-O16)</f>
        <v>382707.07200000004</v>
      </c>
      <c r="Q16" s="423">
        <f t="shared" si="1"/>
        <v>956767.68</v>
      </c>
      <c r="R16" s="425">
        <v>0.15</v>
      </c>
      <c r="S16" s="423">
        <f t="shared" si="2"/>
        <v>143515.152</v>
      </c>
      <c r="T16" s="423">
        <f t="shared" si="3"/>
        <v>813252.52800000005</v>
      </c>
      <c r="U16" s="82">
        <v>3</v>
      </c>
      <c r="V16" s="48"/>
      <c r="W16" s="331">
        <v>9664.32</v>
      </c>
      <c r="X16" s="331">
        <v>956767.68</v>
      </c>
      <c r="Y16" s="331"/>
      <c r="AA16" s="42"/>
    </row>
    <row r="17" spans="1:27" ht="15" customHeight="1" x14ac:dyDescent="0.25">
      <c r="A17" s="101"/>
      <c r="B17" s="35" t="s">
        <v>135</v>
      </c>
      <c r="C17" s="352"/>
      <c r="D17" s="352"/>
      <c r="E17" s="460"/>
      <c r="F17" s="424"/>
      <c r="G17" s="464"/>
      <c r="H17" s="454"/>
      <c r="I17" s="424"/>
      <c r="J17" s="424"/>
      <c r="K17" s="424"/>
      <c r="L17" s="426"/>
      <c r="M17" s="424"/>
      <c r="N17" s="424"/>
      <c r="O17" s="424"/>
      <c r="P17" s="424"/>
      <c r="Q17" s="424"/>
      <c r="R17" s="426"/>
      <c r="S17" s="424"/>
      <c r="T17" s="424"/>
      <c r="U17" s="83"/>
      <c r="V17" s="48"/>
      <c r="W17" s="331">
        <v>6215.37</v>
      </c>
      <c r="X17" s="331">
        <v>615321.63</v>
      </c>
      <c r="Y17" s="331"/>
      <c r="AA17" s="42"/>
    </row>
    <row r="18" spans="1:27" ht="15" customHeight="1" x14ac:dyDescent="0.25">
      <c r="A18" s="134">
        <v>4</v>
      </c>
      <c r="B18" s="98" t="s">
        <v>244</v>
      </c>
      <c r="C18" s="351" t="s">
        <v>259</v>
      </c>
      <c r="D18" s="351" t="s">
        <v>274</v>
      </c>
      <c r="E18" s="459">
        <f>SUM('PK PNS'!E16:E17)</f>
        <v>6870</v>
      </c>
      <c r="F18" s="423">
        <v>966432</v>
      </c>
      <c r="G18" s="461">
        <v>0</v>
      </c>
      <c r="H18" s="453">
        <f>SUM(F18:G19)</f>
        <v>966432</v>
      </c>
      <c r="I18" s="423">
        <f t="shared" ref="I18" si="12">SUM(H18*1%)</f>
        <v>9664.32</v>
      </c>
      <c r="J18" s="423">
        <f t="shared" ref="J18" si="13">SUM(H18-I18)</f>
        <v>956767.68</v>
      </c>
      <c r="K18" s="423">
        <f t="shared" ref="K18" si="14">SUM(J18*60%)</f>
        <v>574060.60800000001</v>
      </c>
      <c r="L18" s="425">
        <f>SUM('PK PNS'!I16:I17)</f>
        <v>1</v>
      </c>
      <c r="M18" s="423">
        <f t="shared" si="0"/>
        <v>574060.60800000001</v>
      </c>
      <c r="N18" s="423">
        <f t="shared" ref="N18" si="15">SUM(J18*40%)</f>
        <v>382707.07200000004</v>
      </c>
      <c r="O18" s="423">
        <f>SUM(N18*Tabel_Perhitungan!AB18)</f>
        <v>0</v>
      </c>
      <c r="P18" s="423">
        <f t="shared" ref="P18" si="16">SUM(N18-O18)</f>
        <v>382707.07200000004</v>
      </c>
      <c r="Q18" s="423">
        <f t="shared" si="1"/>
        <v>956767.68</v>
      </c>
      <c r="R18" s="425">
        <v>0.15</v>
      </c>
      <c r="S18" s="423">
        <f t="shared" si="2"/>
        <v>143515.152</v>
      </c>
      <c r="T18" s="423">
        <f t="shared" si="3"/>
        <v>813252.52800000005</v>
      </c>
      <c r="U18" s="82">
        <v>4</v>
      </c>
      <c r="V18" s="48"/>
      <c r="W18" s="331">
        <v>4995.3500000000004</v>
      </c>
      <c r="X18" s="331">
        <v>494539.65</v>
      </c>
      <c r="Y18" s="331"/>
      <c r="AA18" s="42"/>
    </row>
    <row r="19" spans="1:27" ht="15" customHeight="1" x14ac:dyDescent="0.25">
      <c r="A19" s="101"/>
      <c r="B19" s="102" t="s">
        <v>240</v>
      </c>
      <c r="C19" s="352"/>
      <c r="D19" s="352"/>
      <c r="E19" s="460"/>
      <c r="F19" s="424"/>
      <c r="G19" s="462"/>
      <c r="H19" s="454"/>
      <c r="I19" s="424"/>
      <c r="J19" s="424"/>
      <c r="K19" s="424"/>
      <c r="L19" s="426"/>
      <c r="M19" s="424"/>
      <c r="N19" s="424"/>
      <c r="O19" s="424"/>
      <c r="P19" s="424"/>
      <c r="Q19" s="424"/>
      <c r="R19" s="426"/>
      <c r="S19" s="424"/>
      <c r="T19" s="424"/>
      <c r="U19" s="83"/>
      <c r="V19" s="48"/>
      <c r="W19" s="331">
        <v>11177.34</v>
      </c>
      <c r="X19" s="331">
        <v>1106556.6599999999</v>
      </c>
      <c r="Y19" s="331"/>
      <c r="AA19" s="42"/>
    </row>
    <row r="20" spans="1:27" ht="15" customHeight="1" x14ac:dyDescent="0.25">
      <c r="A20" s="134">
        <v>5</v>
      </c>
      <c r="B20" s="127" t="s">
        <v>348</v>
      </c>
      <c r="C20" s="353" t="s">
        <v>259</v>
      </c>
      <c r="D20" s="351" t="s">
        <v>350</v>
      </c>
      <c r="E20" s="459">
        <f>SUM('PK PNS'!E18:E19)</f>
        <v>7643</v>
      </c>
      <c r="F20" s="423">
        <v>966432</v>
      </c>
      <c r="G20" s="463">
        <v>0</v>
      </c>
      <c r="H20" s="453">
        <f>SUM(F20:G21)</f>
        <v>966432</v>
      </c>
      <c r="I20" s="423">
        <f t="shared" ref="I20" si="17">SUM(H20*1%)</f>
        <v>9664.32</v>
      </c>
      <c r="J20" s="423">
        <f t="shared" ref="J20" si="18">SUM(H20-I20)</f>
        <v>956767.68</v>
      </c>
      <c r="K20" s="423">
        <f t="shared" ref="K20" si="19">SUM(J20*60%)</f>
        <v>574060.60800000001</v>
      </c>
      <c r="L20" s="425">
        <f>SUM('PK PNS'!I18:I19)</f>
        <v>1</v>
      </c>
      <c r="M20" s="423">
        <f t="shared" si="0"/>
        <v>574060.60800000001</v>
      </c>
      <c r="N20" s="423">
        <f t="shared" ref="N20" si="20">SUM(J20*40%)</f>
        <v>382707.07200000004</v>
      </c>
      <c r="O20" s="423">
        <f>SUM(N20*Tabel_Perhitungan!AB20)</f>
        <v>0</v>
      </c>
      <c r="P20" s="423">
        <f t="shared" ref="P20" si="21">SUM(N20-O20)</f>
        <v>382707.07200000004</v>
      </c>
      <c r="Q20" s="423">
        <f t="shared" si="1"/>
        <v>956767.68</v>
      </c>
      <c r="R20" s="425">
        <v>0.15</v>
      </c>
      <c r="S20" s="423">
        <f t="shared" si="2"/>
        <v>143515.152</v>
      </c>
      <c r="T20" s="423">
        <f t="shared" si="3"/>
        <v>813252.52800000005</v>
      </c>
      <c r="U20" s="82">
        <v>5</v>
      </c>
      <c r="V20" s="48"/>
      <c r="W20" s="331">
        <v>11177.34</v>
      </c>
      <c r="X20" s="331">
        <v>1106556.6599999999</v>
      </c>
      <c r="Y20" s="331"/>
      <c r="AA20" s="42"/>
    </row>
    <row r="21" spans="1:27" ht="15" customHeight="1" x14ac:dyDescent="0.25">
      <c r="A21" s="101"/>
      <c r="B21" s="189" t="s">
        <v>349</v>
      </c>
      <c r="C21" s="354"/>
      <c r="D21" s="352"/>
      <c r="E21" s="460"/>
      <c r="F21" s="424"/>
      <c r="G21" s="464"/>
      <c r="H21" s="454"/>
      <c r="I21" s="424"/>
      <c r="J21" s="424"/>
      <c r="K21" s="424"/>
      <c r="L21" s="426"/>
      <c r="M21" s="424"/>
      <c r="N21" s="424"/>
      <c r="O21" s="424"/>
      <c r="P21" s="424"/>
      <c r="Q21" s="424"/>
      <c r="R21" s="426"/>
      <c r="S21" s="424"/>
      <c r="T21" s="424"/>
      <c r="U21" s="83"/>
      <c r="V21" s="48"/>
      <c r="W21" s="331">
        <v>6204.74</v>
      </c>
      <c r="X21" s="331">
        <v>595226.91293999995</v>
      </c>
      <c r="Y21" s="331"/>
      <c r="AA21" s="267"/>
    </row>
    <row r="22" spans="1:27" ht="15" customHeight="1" x14ac:dyDescent="0.25">
      <c r="A22" s="134">
        <v>6</v>
      </c>
      <c r="B22" s="37" t="s">
        <v>140</v>
      </c>
      <c r="C22" s="351" t="s">
        <v>261</v>
      </c>
      <c r="D22" s="351" t="s">
        <v>278</v>
      </c>
      <c r="E22" s="459">
        <f>SUM('PK PNS'!E20:E21)</f>
        <v>7400</v>
      </c>
      <c r="F22" s="423">
        <v>621537</v>
      </c>
      <c r="G22" s="457">
        <v>0</v>
      </c>
      <c r="H22" s="453">
        <f>SUM(F22:G23)</f>
        <v>621537</v>
      </c>
      <c r="I22" s="423">
        <f t="shared" ref="I22" si="22">SUM(H22*1%)</f>
        <v>6215.37</v>
      </c>
      <c r="J22" s="423">
        <f t="shared" ref="J22" si="23">SUM(H22-I22)</f>
        <v>615321.63</v>
      </c>
      <c r="K22" s="423">
        <f t="shared" ref="K22" si="24">SUM(J22*60%)</f>
        <v>369192.978</v>
      </c>
      <c r="L22" s="425">
        <f>SUM('PK PNS'!I20:I21)</f>
        <v>1</v>
      </c>
      <c r="M22" s="423">
        <f t="shared" si="0"/>
        <v>369192.978</v>
      </c>
      <c r="N22" s="423">
        <f t="shared" ref="N22" si="25">SUM(J22*40%)</f>
        <v>246128.652</v>
      </c>
      <c r="O22" s="423">
        <f>SUM(N22*Tabel_Perhitungan!AB22)</f>
        <v>0</v>
      </c>
      <c r="P22" s="423">
        <f t="shared" ref="P22" si="26">SUM(N22-O22)</f>
        <v>246128.652</v>
      </c>
      <c r="Q22" s="423">
        <f t="shared" si="1"/>
        <v>615321.63</v>
      </c>
      <c r="R22" s="425">
        <v>0.05</v>
      </c>
      <c r="S22" s="423">
        <f t="shared" si="2"/>
        <v>30766.0815</v>
      </c>
      <c r="T22" s="423">
        <f t="shared" si="3"/>
        <v>584555.54850000003</v>
      </c>
      <c r="U22" s="82">
        <v>6</v>
      </c>
      <c r="V22" s="48"/>
      <c r="W22" s="331">
        <v>11177.34</v>
      </c>
      <c r="X22" s="331">
        <v>1093277.9800799999</v>
      </c>
      <c r="Y22" s="331"/>
      <c r="AA22" s="42"/>
    </row>
    <row r="23" spans="1:27" ht="15" customHeight="1" x14ac:dyDescent="0.25">
      <c r="A23" s="57"/>
      <c r="B23" s="34" t="s">
        <v>139</v>
      </c>
      <c r="C23" s="352"/>
      <c r="D23" s="352"/>
      <c r="E23" s="460"/>
      <c r="F23" s="424"/>
      <c r="G23" s="458"/>
      <c r="H23" s="454"/>
      <c r="I23" s="424"/>
      <c r="J23" s="424"/>
      <c r="K23" s="424"/>
      <c r="L23" s="426"/>
      <c r="M23" s="424"/>
      <c r="N23" s="424"/>
      <c r="O23" s="424"/>
      <c r="P23" s="424"/>
      <c r="Q23" s="424"/>
      <c r="R23" s="426"/>
      <c r="S23" s="424"/>
      <c r="T23" s="424"/>
      <c r="U23" s="84"/>
      <c r="V23" s="48"/>
      <c r="W23" s="331">
        <v>4404.38</v>
      </c>
      <c r="X23" s="331">
        <v>426876.91397999995</v>
      </c>
      <c r="Y23" s="331"/>
      <c r="AA23" s="267"/>
    </row>
    <row r="24" spans="1:27" ht="15" customHeight="1" x14ac:dyDescent="0.25">
      <c r="A24" s="134">
        <v>7</v>
      </c>
      <c r="B24" s="31" t="s">
        <v>175</v>
      </c>
      <c r="C24" s="351" t="s">
        <v>261</v>
      </c>
      <c r="D24" s="351" t="s">
        <v>276</v>
      </c>
      <c r="E24" s="459">
        <f>SUM('PK PNS'!E22:E23)</f>
        <v>7700</v>
      </c>
      <c r="F24" s="423">
        <v>499535</v>
      </c>
      <c r="G24" s="463">
        <v>0</v>
      </c>
      <c r="H24" s="453">
        <f>SUM(F24:G25)</f>
        <v>499535</v>
      </c>
      <c r="I24" s="423">
        <f t="shared" ref="I24" si="27">SUM(H24*1%)</f>
        <v>4995.3500000000004</v>
      </c>
      <c r="J24" s="423">
        <f t="shared" ref="J24" si="28">SUM(H24-I24)</f>
        <v>494539.65</v>
      </c>
      <c r="K24" s="423">
        <f t="shared" ref="K24" si="29">SUM(J24*60%)</f>
        <v>296723.78999999998</v>
      </c>
      <c r="L24" s="425">
        <f>SUM('PK PNS'!I22:I23)</f>
        <v>1</v>
      </c>
      <c r="M24" s="423">
        <f t="shared" si="0"/>
        <v>296723.78999999998</v>
      </c>
      <c r="N24" s="423">
        <f t="shared" ref="N24" si="30">SUM(J24*40%)</f>
        <v>197815.86000000002</v>
      </c>
      <c r="O24" s="423">
        <f>SUM(N24*Tabel_Perhitungan!AB24)</f>
        <v>0</v>
      </c>
      <c r="P24" s="423">
        <f t="shared" ref="P24" si="31">SUM(N24-O24)</f>
        <v>197815.86000000002</v>
      </c>
      <c r="Q24" s="423">
        <f t="shared" si="1"/>
        <v>494539.65</v>
      </c>
      <c r="R24" s="425">
        <v>0.05</v>
      </c>
      <c r="S24" s="423">
        <f t="shared" si="2"/>
        <v>24726.982500000002</v>
      </c>
      <c r="T24" s="423">
        <f t="shared" si="3"/>
        <v>469812.66750000004</v>
      </c>
      <c r="U24" s="82">
        <v>7</v>
      </c>
      <c r="V24" s="48"/>
      <c r="W24" s="331">
        <v>0</v>
      </c>
      <c r="X24" s="331">
        <v>0</v>
      </c>
      <c r="Y24" s="331"/>
      <c r="AA24" s="267"/>
    </row>
    <row r="25" spans="1:27" ht="15" customHeight="1" x14ac:dyDescent="0.25">
      <c r="A25" s="101"/>
      <c r="B25" s="34" t="s">
        <v>174</v>
      </c>
      <c r="C25" s="352"/>
      <c r="D25" s="352"/>
      <c r="E25" s="460"/>
      <c r="F25" s="424"/>
      <c r="G25" s="464"/>
      <c r="H25" s="454"/>
      <c r="I25" s="424"/>
      <c r="J25" s="424"/>
      <c r="K25" s="424"/>
      <c r="L25" s="426"/>
      <c r="M25" s="424"/>
      <c r="N25" s="424"/>
      <c r="O25" s="424"/>
      <c r="P25" s="424"/>
      <c r="Q25" s="424"/>
      <c r="R25" s="426"/>
      <c r="S25" s="424"/>
      <c r="T25" s="424"/>
      <c r="U25" s="83"/>
      <c r="V25" s="48"/>
      <c r="W25" s="331">
        <v>6204.74</v>
      </c>
      <c r="X25" s="331">
        <v>606898.02888</v>
      </c>
      <c r="Y25" s="331"/>
      <c r="AA25" s="334"/>
    </row>
    <row r="26" spans="1:27" s="4" customFormat="1" ht="15" customHeight="1" x14ac:dyDescent="0.25">
      <c r="A26" s="58">
        <v>8</v>
      </c>
      <c r="B26" s="31" t="s">
        <v>138</v>
      </c>
      <c r="C26" s="351" t="s">
        <v>261</v>
      </c>
      <c r="D26" s="351" t="s">
        <v>382</v>
      </c>
      <c r="E26" s="459">
        <f>SUM('PK PNS'!E24:E25)</f>
        <v>7870</v>
      </c>
      <c r="F26" s="423">
        <v>1117734</v>
      </c>
      <c r="G26" s="457">
        <v>0</v>
      </c>
      <c r="H26" s="453">
        <f>SUM(F26:G27)</f>
        <v>1117734</v>
      </c>
      <c r="I26" s="423">
        <f t="shared" ref="I26" si="32">SUM(H26*1%)</f>
        <v>11177.34</v>
      </c>
      <c r="J26" s="423">
        <f t="shared" ref="J26" si="33">SUM(H26-I26)</f>
        <v>1106556.6599999999</v>
      </c>
      <c r="K26" s="423">
        <f t="shared" ref="K26" si="34">SUM(J26*60%)</f>
        <v>663933.99599999993</v>
      </c>
      <c r="L26" s="425">
        <f>SUM('PK PNS'!I24:I25)</f>
        <v>1</v>
      </c>
      <c r="M26" s="423">
        <f t="shared" si="0"/>
        <v>663933.99599999993</v>
      </c>
      <c r="N26" s="423">
        <f t="shared" ref="N26" si="35">SUM(J26*40%)</f>
        <v>442622.66399999999</v>
      </c>
      <c r="O26" s="423">
        <f>SUM(N26*Tabel_Perhitungan!AB26)</f>
        <v>0</v>
      </c>
      <c r="P26" s="423">
        <f t="shared" ref="P26" si="36">SUM(N26-O26)</f>
        <v>442622.66399999999</v>
      </c>
      <c r="Q26" s="423">
        <f t="shared" si="1"/>
        <v>1106556.6599999999</v>
      </c>
      <c r="R26" s="425">
        <v>0.05</v>
      </c>
      <c r="S26" s="423">
        <f t="shared" si="2"/>
        <v>55327.832999999999</v>
      </c>
      <c r="T26" s="423">
        <f t="shared" si="3"/>
        <v>1051228.8269999998</v>
      </c>
      <c r="U26" s="85">
        <v>8</v>
      </c>
      <c r="V26" s="48"/>
      <c r="W26" s="331">
        <v>4404.38</v>
      </c>
      <c r="X26" s="331">
        <v>418156.24158000003</v>
      </c>
      <c r="Y26" s="331"/>
      <c r="AA26" s="42"/>
    </row>
    <row r="27" spans="1:27" ht="15" customHeight="1" x14ac:dyDescent="0.25">
      <c r="A27" s="59"/>
      <c r="B27" s="34" t="s">
        <v>137</v>
      </c>
      <c r="C27" s="352"/>
      <c r="D27" s="352"/>
      <c r="E27" s="460"/>
      <c r="F27" s="424"/>
      <c r="G27" s="458"/>
      <c r="H27" s="454"/>
      <c r="I27" s="424"/>
      <c r="J27" s="424"/>
      <c r="K27" s="424"/>
      <c r="L27" s="426"/>
      <c r="M27" s="424"/>
      <c r="N27" s="424"/>
      <c r="O27" s="424"/>
      <c r="P27" s="424"/>
      <c r="Q27" s="424"/>
      <c r="R27" s="426"/>
      <c r="S27" s="424"/>
      <c r="T27" s="424"/>
      <c r="U27" s="86"/>
      <c r="V27" s="48"/>
      <c r="W27" s="331">
        <v>4404.38</v>
      </c>
      <c r="X27" s="331">
        <v>427312.94759999996</v>
      </c>
      <c r="Y27" s="331"/>
      <c r="AA27" s="42"/>
    </row>
    <row r="28" spans="1:27" ht="18" customHeight="1" x14ac:dyDescent="0.25">
      <c r="A28" s="134">
        <v>9</v>
      </c>
      <c r="B28" s="38" t="s">
        <v>34</v>
      </c>
      <c r="C28" s="351" t="s">
        <v>259</v>
      </c>
      <c r="D28" s="351" t="s">
        <v>382</v>
      </c>
      <c r="E28" s="459">
        <f>SUM('PK PNS'!E26:E27)</f>
        <v>7025</v>
      </c>
      <c r="F28" s="423">
        <v>1117734</v>
      </c>
      <c r="G28" s="457">
        <v>0</v>
      </c>
      <c r="H28" s="453">
        <f>SUM(F28:G29)</f>
        <v>1117734</v>
      </c>
      <c r="I28" s="423">
        <f t="shared" ref="I28" si="37">SUM(H28*1%)</f>
        <v>11177.34</v>
      </c>
      <c r="J28" s="423">
        <f t="shared" ref="J28" si="38">SUM(H28-I28)</f>
        <v>1106556.6599999999</v>
      </c>
      <c r="K28" s="423">
        <f t="shared" ref="K28" si="39">SUM(J28*60%)</f>
        <v>663933.99599999993</v>
      </c>
      <c r="L28" s="425">
        <f>SUM('PK PNS'!I26:I27)</f>
        <v>1</v>
      </c>
      <c r="M28" s="423">
        <f t="shared" si="0"/>
        <v>663933.99599999993</v>
      </c>
      <c r="N28" s="423">
        <f t="shared" ref="N28" si="40">SUM(J28*40%)</f>
        <v>442622.66399999999</v>
      </c>
      <c r="O28" s="423">
        <f>SUM(N28*Tabel_Perhitungan!AB28)</f>
        <v>0</v>
      </c>
      <c r="P28" s="423">
        <f t="shared" ref="P28" si="41">SUM(N28-O28)</f>
        <v>442622.66399999999</v>
      </c>
      <c r="Q28" s="423">
        <f t="shared" si="1"/>
        <v>1106556.6599999999</v>
      </c>
      <c r="R28" s="425">
        <v>0.15</v>
      </c>
      <c r="S28" s="423">
        <f t="shared" si="2"/>
        <v>165983.49899999998</v>
      </c>
      <c r="T28" s="423">
        <f t="shared" si="3"/>
        <v>940573.16099999996</v>
      </c>
      <c r="U28" s="82">
        <v>9</v>
      </c>
      <c r="V28" s="48"/>
      <c r="W28" s="331">
        <v>3827.35</v>
      </c>
      <c r="X28" s="331">
        <v>372087.31229999999</v>
      </c>
      <c r="Y28" s="331"/>
      <c r="AA28" s="42"/>
    </row>
    <row r="29" spans="1:27" ht="18" customHeight="1" x14ac:dyDescent="0.25">
      <c r="A29" s="101"/>
      <c r="B29" s="39" t="s">
        <v>141</v>
      </c>
      <c r="C29" s="352"/>
      <c r="D29" s="352"/>
      <c r="E29" s="460"/>
      <c r="F29" s="424"/>
      <c r="G29" s="458"/>
      <c r="H29" s="454"/>
      <c r="I29" s="424"/>
      <c r="J29" s="424"/>
      <c r="K29" s="424"/>
      <c r="L29" s="426"/>
      <c r="M29" s="424"/>
      <c r="N29" s="424"/>
      <c r="O29" s="424"/>
      <c r="P29" s="424"/>
      <c r="Q29" s="424"/>
      <c r="R29" s="426"/>
      <c r="S29" s="424"/>
      <c r="T29" s="424"/>
      <c r="U29" s="83"/>
      <c r="V29" s="48"/>
      <c r="W29" s="331">
        <v>4995.3500000000004</v>
      </c>
      <c r="X29" s="331">
        <v>482670.69839999999</v>
      </c>
      <c r="Y29" s="331"/>
      <c r="AA29" s="42"/>
    </row>
    <row r="30" spans="1:27" ht="18" customHeight="1" x14ac:dyDescent="0.25">
      <c r="A30" s="134">
        <v>10</v>
      </c>
      <c r="B30" s="38" t="s">
        <v>35</v>
      </c>
      <c r="C30" s="351" t="s">
        <v>261</v>
      </c>
      <c r="D30" s="367" t="s">
        <v>351</v>
      </c>
      <c r="E30" s="459">
        <f>SUM('PK PNS'!E28:E29)</f>
        <v>8355</v>
      </c>
      <c r="F30" s="423">
        <v>620474</v>
      </c>
      <c r="G30" s="457">
        <v>0</v>
      </c>
      <c r="H30" s="453">
        <f>SUM(F30:G31)</f>
        <v>620474</v>
      </c>
      <c r="I30" s="423">
        <f t="shared" ref="I30" si="42">SUM(H30*1%)</f>
        <v>6204.74</v>
      </c>
      <c r="J30" s="423">
        <f t="shared" ref="J30" si="43">SUM(H30-I30)</f>
        <v>614269.26</v>
      </c>
      <c r="K30" s="423">
        <f t="shared" ref="K30" si="44">SUM(J30*60%)</f>
        <v>368561.55599999998</v>
      </c>
      <c r="L30" s="425">
        <f>SUM('PK PNS'!I28:I29)</f>
        <v>1</v>
      </c>
      <c r="M30" s="423">
        <f t="shared" si="0"/>
        <v>368561.55599999998</v>
      </c>
      <c r="N30" s="423">
        <f t="shared" ref="N30" si="45">SUM(J30*40%)</f>
        <v>245707.70400000003</v>
      </c>
      <c r="O30" s="423">
        <f>SUM(N30*Tabel_Perhitungan!AB30)</f>
        <v>19042.347060000004</v>
      </c>
      <c r="P30" s="423">
        <f t="shared" ref="P30" si="46">SUM(N30-O30)</f>
        <v>226665.35694000003</v>
      </c>
      <c r="Q30" s="423">
        <f t="shared" si="1"/>
        <v>595226.91293999995</v>
      </c>
      <c r="R30" s="425">
        <v>0.05</v>
      </c>
      <c r="S30" s="423">
        <f t="shared" si="2"/>
        <v>29761.345646999998</v>
      </c>
      <c r="T30" s="423">
        <f t="shared" si="3"/>
        <v>565465.56729299994</v>
      </c>
      <c r="U30" s="82">
        <v>10</v>
      </c>
      <c r="V30" s="48"/>
      <c r="W30" s="331">
        <v>3192.02</v>
      </c>
      <c r="X30" s="331">
        <v>299577.46103999997</v>
      </c>
      <c r="Y30" s="331"/>
      <c r="AA30" s="42"/>
    </row>
    <row r="31" spans="1:27" ht="18" customHeight="1" x14ac:dyDescent="0.25">
      <c r="A31" s="101"/>
      <c r="B31" s="40" t="s">
        <v>142</v>
      </c>
      <c r="C31" s="352"/>
      <c r="D31" s="368"/>
      <c r="E31" s="460"/>
      <c r="F31" s="424"/>
      <c r="G31" s="458"/>
      <c r="H31" s="454"/>
      <c r="I31" s="424"/>
      <c r="J31" s="424"/>
      <c r="K31" s="424"/>
      <c r="L31" s="426"/>
      <c r="M31" s="424"/>
      <c r="N31" s="424"/>
      <c r="O31" s="424"/>
      <c r="P31" s="424"/>
      <c r="Q31" s="424"/>
      <c r="R31" s="426"/>
      <c r="S31" s="424"/>
      <c r="T31" s="424"/>
      <c r="U31" s="83"/>
      <c r="V31" s="48"/>
      <c r="W31" s="331">
        <v>4404.38</v>
      </c>
      <c r="X31" s="331">
        <v>436033.62</v>
      </c>
      <c r="Y31" s="331"/>
      <c r="AA31" s="42"/>
    </row>
    <row r="32" spans="1:27" ht="18" customHeight="1" x14ac:dyDescent="0.25">
      <c r="A32" s="134">
        <v>11</v>
      </c>
      <c r="B32" s="41" t="s">
        <v>79</v>
      </c>
      <c r="C32" s="351" t="s">
        <v>259</v>
      </c>
      <c r="D32" s="351" t="s">
        <v>382</v>
      </c>
      <c r="E32" s="459">
        <f>SUM('PK PNS'!E30:E31)</f>
        <v>8420</v>
      </c>
      <c r="F32" s="423">
        <v>1117734</v>
      </c>
      <c r="G32" s="457">
        <v>0</v>
      </c>
      <c r="H32" s="453">
        <f>SUM(F32:G33)</f>
        <v>1117734</v>
      </c>
      <c r="I32" s="423">
        <f t="shared" ref="I32" si="47">SUM(H32*1%)</f>
        <v>11177.34</v>
      </c>
      <c r="J32" s="423">
        <f t="shared" ref="J32" si="48">SUM(H32-I32)</f>
        <v>1106556.6599999999</v>
      </c>
      <c r="K32" s="423">
        <f t="shared" ref="K32" si="49">SUM(J32*60%)</f>
        <v>663933.99599999993</v>
      </c>
      <c r="L32" s="425">
        <f>SUM('PK PNS'!I30:I31)</f>
        <v>1</v>
      </c>
      <c r="M32" s="423">
        <f t="shared" si="0"/>
        <v>663933.99599999993</v>
      </c>
      <c r="N32" s="423">
        <f t="shared" ref="N32" si="50">SUM(J32*40%)</f>
        <v>442622.66399999999</v>
      </c>
      <c r="O32" s="423">
        <f>SUM(N32*Tabel_Perhitungan!AB32)</f>
        <v>13278.679919999999</v>
      </c>
      <c r="P32" s="423">
        <f t="shared" ref="P32" si="51">SUM(N32-O32)</f>
        <v>429343.98407999997</v>
      </c>
      <c r="Q32" s="423">
        <f t="shared" si="1"/>
        <v>1093277.9800799999</v>
      </c>
      <c r="R32" s="425">
        <v>0.15</v>
      </c>
      <c r="S32" s="423">
        <f t="shared" si="2"/>
        <v>163991.69701199999</v>
      </c>
      <c r="T32" s="423">
        <f t="shared" si="3"/>
        <v>929286.28306799987</v>
      </c>
      <c r="U32" s="82">
        <v>11</v>
      </c>
      <c r="V32" s="48"/>
      <c r="W32" s="331">
        <v>3827.35</v>
      </c>
      <c r="X32" s="331">
        <v>378907.65</v>
      </c>
      <c r="Y32" s="331"/>
      <c r="AA32" s="42"/>
    </row>
    <row r="33" spans="1:27" ht="18" customHeight="1" x14ac:dyDescent="0.25">
      <c r="A33" s="101"/>
      <c r="B33" s="46" t="s">
        <v>143</v>
      </c>
      <c r="C33" s="352"/>
      <c r="D33" s="352"/>
      <c r="E33" s="460"/>
      <c r="F33" s="424"/>
      <c r="G33" s="458"/>
      <c r="H33" s="454"/>
      <c r="I33" s="424"/>
      <c r="J33" s="424"/>
      <c r="K33" s="424"/>
      <c r="L33" s="426"/>
      <c r="M33" s="424"/>
      <c r="N33" s="424"/>
      <c r="O33" s="424"/>
      <c r="P33" s="424"/>
      <c r="Q33" s="424"/>
      <c r="R33" s="426"/>
      <c r="S33" s="424"/>
      <c r="T33" s="424"/>
      <c r="U33" s="83"/>
      <c r="V33" s="48"/>
      <c r="W33" s="331">
        <v>3827.35</v>
      </c>
      <c r="X33" s="331">
        <v>374360.75820000004</v>
      </c>
      <c r="Y33" s="331"/>
      <c r="AA33" s="42"/>
    </row>
    <row r="34" spans="1:27" ht="19.5" customHeight="1" x14ac:dyDescent="0.25">
      <c r="A34" s="134">
        <v>12</v>
      </c>
      <c r="B34" s="31" t="s">
        <v>145</v>
      </c>
      <c r="C34" s="351" t="s">
        <v>261</v>
      </c>
      <c r="D34" s="367" t="s">
        <v>326</v>
      </c>
      <c r="E34" s="459">
        <f>SUM('PK PNS'!E32:E33)</f>
        <v>6885</v>
      </c>
      <c r="F34" s="423">
        <v>440438</v>
      </c>
      <c r="G34" s="457">
        <v>0</v>
      </c>
      <c r="H34" s="453">
        <f>SUM(F34:G35)</f>
        <v>440438</v>
      </c>
      <c r="I34" s="423">
        <f t="shared" ref="I34" si="52">SUM(H34*1%)</f>
        <v>4404.38</v>
      </c>
      <c r="J34" s="423">
        <f t="shared" ref="J34" si="53">SUM(H34-I34)</f>
        <v>436033.62</v>
      </c>
      <c r="K34" s="423">
        <f t="shared" ref="K34" si="54">SUM(J34*60%)</f>
        <v>261620.17199999999</v>
      </c>
      <c r="L34" s="425">
        <f>SUM('PK PNS'!I32:I33)</f>
        <v>1</v>
      </c>
      <c r="M34" s="423">
        <f t="shared" si="0"/>
        <v>261620.17199999999</v>
      </c>
      <c r="N34" s="423">
        <f t="shared" ref="N34" si="55">SUM(J34*40%)</f>
        <v>174413.448</v>
      </c>
      <c r="O34" s="423">
        <f>SUM(N34*Tabel_Perhitungan!AB34)</f>
        <v>9156.7060199999996</v>
      </c>
      <c r="P34" s="423">
        <f t="shared" ref="P34" si="56">SUM(N34-O34)</f>
        <v>165256.74197999999</v>
      </c>
      <c r="Q34" s="423">
        <f t="shared" si="1"/>
        <v>426876.91397999995</v>
      </c>
      <c r="R34" s="425">
        <v>0.05</v>
      </c>
      <c r="S34" s="423">
        <f t="shared" si="2"/>
        <v>21343.845698999998</v>
      </c>
      <c r="T34" s="423">
        <f t="shared" si="3"/>
        <v>405533.06828099996</v>
      </c>
      <c r="U34" s="82">
        <v>12</v>
      </c>
      <c r="V34" s="48"/>
      <c r="W34" s="331">
        <v>3827.35</v>
      </c>
      <c r="X34" s="331">
        <v>369813.86640000006</v>
      </c>
      <c r="Y34" s="331"/>
      <c r="AA34" s="42"/>
    </row>
    <row r="35" spans="1:27" ht="18" customHeight="1" x14ac:dyDescent="0.25">
      <c r="A35" s="101"/>
      <c r="B35" s="34" t="s">
        <v>144</v>
      </c>
      <c r="C35" s="352"/>
      <c r="D35" s="368"/>
      <c r="E35" s="460"/>
      <c r="F35" s="424"/>
      <c r="G35" s="458"/>
      <c r="H35" s="454"/>
      <c r="I35" s="424"/>
      <c r="J35" s="424"/>
      <c r="K35" s="424"/>
      <c r="L35" s="426"/>
      <c r="M35" s="424"/>
      <c r="N35" s="424"/>
      <c r="O35" s="424"/>
      <c r="P35" s="424"/>
      <c r="Q35" s="424"/>
      <c r="R35" s="426"/>
      <c r="S35" s="424"/>
      <c r="T35" s="424"/>
      <c r="U35" s="83"/>
      <c r="V35" s="48"/>
      <c r="W35" s="331">
        <v>4404.38</v>
      </c>
      <c r="X35" s="331">
        <v>436033.62</v>
      </c>
      <c r="Y35" s="331"/>
      <c r="AA35" s="42"/>
    </row>
    <row r="36" spans="1:27" ht="21" customHeight="1" x14ac:dyDescent="0.25">
      <c r="A36" s="134">
        <v>13</v>
      </c>
      <c r="B36" s="31" t="s">
        <v>147</v>
      </c>
      <c r="C36" s="351" t="s">
        <v>261</v>
      </c>
      <c r="D36" s="367" t="s">
        <v>87</v>
      </c>
      <c r="E36" s="459">
        <f>SUM('PK PNS'!E34:E35)</f>
        <v>0</v>
      </c>
      <c r="F36" s="423">
        <v>0</v>
      </c>
      <c r="G36" s="457">
        <v>0</v>
      </c>
      <c r="H36" s="453">
        <f>SUM(F36:G37)</f>
        <v>0</v>
      </c>
      <c r="I36" s="423">
        <f t="shared" ref="I36" si="57">SUM(H36*1%)</f>
        <v>0</v>
      </c>
      <c r="J36" s="423">
        <f t="shared" ref="J36" si="58">SUM(H36-I36)</f>
        <v>0</v>
      </c>
      <c r="K36" s="423">
        <f t="shared" ref="K36" si="59">SUM(J36*60%)</f>
        <v>0</v>
      </c>
      <c r="L36" s="425">
        <f>SUM('PK PNS'!I34:I35)</f>
        <v>0</v>
      </c>
      <c r="M36" s="423">
        <f t="shared" si="0"/>
        <v>0</v>
      </c>
      <c r="N36" s="423">
        <f t="shared" ref="N36" si="60">SUM(J36*40%)</f>
        <v>0</v>
      </c>
      <c r="O36" s="423">
        <f>SUM(N36*Tabel_Perhitungan!AB36)</f>
        <v>0</v>
      </c>
      <c r="P36" s="423">
        <f t="shared" ref="P36" si="61">SUM(N36-O36)</f>
        <v>0</v>
      </c>
      <c r="Q36" s="423">
        <f t="shared" si="1"/>
        <v>0</v>
      </c>
      <c r="R36" s="425">
        <v>0.05</v>
      </c>
      <c r="S36" s="423">
        <f t="shared" si="2"/>
        <v>0</v>
      </c>
      <c r="T36" s="423">
        <f t="shared" si="3"/>
        <v>0</v>
      </c>
      <c r="U36" s="82">
        <v>13</v>
      </c>
      <c r="V36" s="48"/>
      <c r="W36" s="331">
        <v>6204.74</v>
      </c>
      <c r="X36" s="331">
        <v>614269.26</v>
      </c>
      <c r="Y36" s="331"/>
      <c r="AA36" s="334"/>
    </row>
    <row r="37" spans="1:27" ht="20.25" customHeight="1" x14ac:dyDescent="0.25">
      <c r="A37" s="101"/>
      <c r="B37" s="34" t="s">
        <v>146</v>
      </c>
      <c r="C37" s="352"/>
      <c r="D37" s="368"/>
      <c r="E37" s="460"/>
      <c r="F37" s="424"/>
      <c r="G37" s="458"/>
      <c r="H37" s="454"/>
      <c r="I37" s="424"/>
      <c r="J37" s="424"/>
      <c r="K37" s="424"/>
      <c r="L37" s="426"/>
      <c r="M37" s="424"/>
      <c r="N37" s="424"/>
      <c r="O37" s="424"/>
      <c r="P37" s="424"/>
      <c r="Q37" s="424"/>
      <c r="R37" s="426"/>
      <c r="S37" s="424"/>
      <c r="T37" s="424"/>
      <c r="U37" s="83"/>
      <c r="V37" s="48"/>
      <c r="W37" s="331">
        <v>6204.74</v>
      </c>
      <c r="X37" s="331">
        <v>584784.33551999996</v>
      </c>
      <c r="Y37" s="331"/>
      <c r="AA37" s="334"/>
    </row>
    <row r="38" spans="1:27" ht="15" customHeight="1" x14ac:dyDescent="0.25">
      <c r="A38" s="134">
        <v>14</v>
      </c>
      <c r="B38" s="31" t="s">
        <v>173</v>
      </c>
      <c r="C38" s="351" t="s">
        <v>261</v>
      </c>
      <c r="D38" s="371" t="s">
        <v>464</v>
      </c>
      <c r="E38" s="459">
        <f>SUM('PK PNS'!E36:E37)</f>
        <v>7655</v>
      </c>
      <c r="F38" s="423">
        <v>620474</v>
      </c>
      <c r="G38" s="457">
        <v>0</v>
      </c>
      <c r="H38" s="453">
        <f>SUM(F38:G39)</f>
        <v>620474</v>
      </c>
      <c r="I38" s="423">
        <f t="shared" ref="I38" si="62">SUM(H38*1%)</f>
        <v>6204.74</v>
      </c>
      <c r="J38" s="423">
        <f t="shared" ref="J38" si="63">SUM(H38-I38)</f>
        <v>614269.26</v>
      </c>
      <c r="K38" s="423">
        <f t="shared" ref="K38" si="64">SUM(J38*60%)</f>
        <v>368561.55599999998</v>
      </c>
      <c r="L38" s="425">
        <f>SUM('PK PNS'!I36:I37)</f>
        <v>1</v>
      </c>
      <c r="M38" s="423">
        <f t="shared" si="0"/>
        <v>368561.55599999998</v>
      </c>
      <c r="N38" s="423">
        <f t="shared" ref="N38" si="65">SUM(J38*40%)</f>
        <v>245707.70400000003</v>
      </c>
      <c r="O38" s="423">
        <f>SUM(N38*Tabel_Perhitungan!AB38)</f>
        <v>7371.2311200000004</v>
      </c>
      <c r="P38" s="423">
        <f t="shared" ref="P38" si="66">SUM(N38-O38)</f>
        <v>238336.47288000002</v>
      </c>
      <c r="Q38" s="423">
        <f t="shared" si="1"/>
        <v>606898.02888</v>
      </c>
      <c r="R38" s="425">
        <v>0.05</v>
      </c>
      <c r="S38" s="423">
        <f t="shared" si="2"/>
        <v>30344.901444000003</v>
      </c>
      <c r="T38" s="423">
        <f t="shared" si="3"/>
        <v>576553.12743600004</v>
      </c>
      <c r="U38" s="82">
        <v>14</v>
      </c>
      <c r="V38" s="48"/>
      <c r="W38" s="331">
        <v>4995.3500000000004</v>
      </c>
      <c r="X38" s="331">
        <v>491572.41209999996</v>
      </c>
      <c r="Y38" s="331"/>
      <c r="AA38" s="334"/>
    </row>
    <row r="39" spans="1:27" ht="15" customHeight="1" x14ac:dyDescent="0.25">
      <c r="A39" s="101"/>
      <c r="B39" s="33" t="s">
        <v>172</v>
      </c>
      <c r="C39" s="352"/>
      <c r="D39" s="372"/>
      <c r="E39" s="460"/>
      <c r="F39" s="424"/>
      <c r="G39" s="458"/>
      <c r="H39" s="454"/>
      <c r="I39" s="424"/>
      <c r="J39" s="424"/>
      <c r="K39" s="424"/>
      <c r="L39" s="426"/>
      <c r="M39" s="424"/>
      <c r="N39" s="424"/>
      <c r="O39" s="424"/>
      <c r="P39" s="424"/>
      <c r="Q39" s="424"/>
      <c r="R39" s="426"/>
      <c r="S39" s="424"/>
      <c r="T39" s="424"/>
      <c r="U39" s="83"/>
      <c r="V39" s="48"/>
      <c r="W39" s="331">
        <v>4995.3500000000004</v>
      </c>
      <c r="X39" s="331">
        <v>476736.22259999998</v>
      </c>
      <c r="Y39" s="331"/>
      <c r="AA39" s="334"/>
    </row>
    <row r="40" spans="1:27" ht="15" customHeight="1" x14ac:dyDescent="0.25">
      <c r="A40" s="134">
        <v>15</v>
      </c>
      <c r="B40" s="31" t="s">
        <v>48</v>
      </c>
      <c r="C40" s="351" t="s">
        <v>261</v>
      </c>
      <c r="D40" s="351" t="s">
        <v>279</v>
      </c>
      <c r="E40" s="459">
        <f>SUM('PK PNS'!E38:E39)</f>
        <v>7020</v>
      </c>
      <c r="F40" s="423">
        <v>440438</v>
      </c>
      <c r="G40" s="457">
        <v>0</v>
      </c>
      <c r="H40" s="453">
        <f>SUM(F40:G41)</f>
        <v>440438</v>
      </c>
      <c r="I40" s="423">
        <f t="shared" ref="I40" si="67">SUM(H40*1%)</f>
        <v>4404.38</v>
      </c>
      <c r="J40" s="423">
        <f t="shared" ref="J40" si="68">SUM(H40-I40)</f>
        <v>436033.62</v>
      </c>
      <c r="K40" s="423">
        <f t="shared" ref="K40" si="69">SUM(J40*60%)</f>
        <v>261620.17199999999</v>
      </c>
      <c r="L40" s="425">
        <f>SUM('PK PNS'!I38:I39)</f>
        <v>1</v>
      </c>
      <c r="M40" s="423">
        <f t="shared" si="0"/>
        <v>261620.17199999999</v>
      </c>
      <c r="N40" s="423">
        <f t="shared" ref="N40" si="70">SUM(J40*40%)</f>
        <v>174413.448</v>
      </c>
      <c r="O40" s="423">
        <f>SUM(N40*Tabel_Perhitungan!AB40)</f>
        <v>17877.378420000001</v>
      </c>
      <c r="P40" s="423">
        <f t="shared" ref="P40" si="71">SUM(N40-O40)</f>
        <v>156536.06958000001</v>
      </c>
      <c r="Q40" s="423">
        <f t="shared" si="1"/>
        <v>418156.24158000003</v>
      </c>
      <c r="R40" s="425">
        <v>0.05</v>
      </c>
      <c r="S40" s="423">
        <f t="shared" si="2"/>
        <v>20907.812079000003</v>
      </c>
      <c r="T40" s="423">
        <f t="shared" si="3"/>
        <v>397248.42950100004</v>
      </c>
      <c r="U40" s="82">
        <v>15</v>
      </c>
      <c r="V40" s="48"/>
      <c r="W40" s="331">
        <v>6204.74</v>
      </c>
      <c r="X40" s="331">
        <v>614269.26</v>
      </c>
      <c r="Y40" s="331"/>
      <c r="AA40" s="334"/>
    </row>
    <row r="41" spans="1:27" ht="15" customHeight="1" x14ac:dyDescent="0.25">
      <c r="A41" s="101"/>
      <c r="B41" s="34" t="s">
        <v>148</v>
      </c>
      <c r="C41" s="352"/>
      <c r="D41" s="352"/>
      <c r="E41" s="460"/>
      <c r="F41" s="424"/>
      <c r="G41" s="458"/>
      <c r="H41" s="454"/>
      <c r="I41" s="424"/>
      <c r="J41" s="424"/>
      <c r="K41" s="424"/>
      <c r="L41" s="426"/>
      <c r="M41" s="424"/>
      <c r="N41" s="424"/>
      <c r="O41" s="424"/>
      <c r="P41" s="424"/>
      <c r="Q41" s="424"/>
      <c r="R41" s="426"/>
      <c r="S41" s="424"/>
      <c r="T41" s="424"/>
      <c r="U41" s="83"/>
      <c r="V41" s="48"/>
      <c r="W41" s="331">
        <v>4404.38</v>
      </c>
      <c r="X41" s="331">
        <v>420336.40967999998</v>
      </c>
      <c r="Y41" s="331"/>
      <c r="AA41" s="42"/>
    </row>
    <row r="42" spans="1:27" ht="15" customHeight="1" x14ac:dyDescent="0.25">
      <c r="A42" s="134">
        <v>16</v>
      </c>
      <c r="B42" s="31" t="s">
        <v>168</v>
      </c>
      <c r="C42" s="351" t="s">
        <v>261</v>
      </c>
      <c r="D42" s="351" t="s">
        <v>280</v>
      </c>
      <c r="E42" s="459">
        <f>SUM('PK PNS'!E40:E41)</f>
        <v>6820</v>
      </c>
      <c r="F42" s="423">
        <v>440438</v>
      </c>
      <c r="G42" s="457">
        <v>0</v>
      </c>
      <c r="H42" s="453">
        <f>SUM(F42:G43)</f>
        <v>440438</v>
      </c>
      <c r="I42" s="423">
        <f t="shared" ref="I42" si="72">SUM(H42*1%)</f>
        <v>4404.38</v>
      </c>
      <c r="J42" s="423">
        <f t="shared" ref="J42" si="73">SUM(H42-I42)</f>
        <v>436033.62</v>
      </c>
      <c r="K42" s="423">
        <f t="shared" ref="K42" si="74">SUM(J42*60%)</f>
        <v>261620.17199999999</v>
      </c>
      <c r="L42" s="425">
        <f>SUM('PK PNS'!I40:I41)</f>
        <v>1</v>
      </c>
      <c r="M42" s="423">
        <f t="shared" si="0"/>
        <v>261620.17199999999</v>
      </c>
      <c r="N42" s="423">
        <f t="shared" ref="N42" si="75">SUM(J42*40%)</f>
        <v>174413.448</v>
      </c>
      <c r="O42" s="423">
        <f>SUM(N42*Tabel_Perhitungan!AB42)</f>
        <v>8720.6724000000013</v>
      </c>
      <c r="P42" s="423">
        <f t="shared" ref="P42" si="76">SUM(N42-O42)</f>
        <v>165692.77559999999</v>
      </c>
      <c r="Q42" s="423">
        <f t="shared" si="1"/>
        <v>427312.94759999996</v>
      </c>
      <c r="R42" s="425">
        <v>0.05</v>
      </c>
      <c r="S42" s="423">
        <f t="shared" si="2"/>
        <v>21365.647379999999</v>
      </c>
      <c r="T42" s="423">
        <f t="shared" si="3"/>
        <v>405947.30021999998</v>
      </c>
      <c r="U42" s="82">
        <v>16</v>
      </c>
      <c r="V42" s="48"/>
      <c r="W42" s="331">
        <v>3827.35</v>
      </c>
      <c r="X42" s="331">
        <v>378907.65</v>
      </c>
      <c r="Y42" s="331"/>
      <c r="AA42" s="42"/>
    </row>
    <row r="43" spans="1:27" ht="15" customHeight="1" x14ac:dyDescent="0.25">
      <c r="A43" s="101"/>
      <c r="B43" s="34" t="s">
        <v>160</v>
      </c>
      <c r="C43" s="352"/>
      <c r="D43" s="352"/>
      <c r="E43" s="460"/>
      <c r="F43" s="424"/>
      <c r="G43" s="458"/>
      <c r="H43" s="454"/>
      <c r="I43" s="424"/>
      <c r="J43" s="424"/>
      <c r="K43" s="424"/>
      <c r="L43" s="426"/>
      <c r="M43" s="424"/>
      <c r="N43" s="424"/>
      <c r="O43" s="424"/>
      <c r="P43" s="424"/>
      <c r="Q43" s="424"/>
      <c r="R43" s="426"/>
      <c r="S43" s="424"/>
      <c r="T43" s="424"/>
      <c r="U43" s="83"/>
      <c r="V43" s="48"/>
      <c r="W43" s="331">
        <v>4995.3500000000004</v>
      </c>
      <c r="X43" s="331">
        <v>494539.65</v>
      </c>
      <c r="Y43" s="331"/>
      <c r="AA43" s="42"/>
    </row>
    <row r="44" spans="1:27" ht="15" customHeight="1" x14ac:dyDescent="0.25">
      <c r="A44" s="134">
        <v>17</v>
      </c>
      <c r="B44" s="31" t="s">
        <v>169</v>
      </c>
      <c r="C44" s="351" t="s">
        <v>260</v>
      </c>
      <c r="D44" s="351" t="s">
        <v>281</v>
      </c>
      <c r="E44" s="459">
        <f>SUM('PK PNS'!E42:E43)</f>
        <v>6770</v>
      </c>
      <c r="F44" s="423">
        <v>382735</v>
      </c>
      <c r="G44" s="457">
        <v>0</v>
      </c>
      <c r="H44" s="453">
        <f>SUM(F44:G45)</f>
        <v>382735</v>
      </c>
      <c r="I44" s="423">
        <f t="shared" ref="I44" si="77">SUM(H44*1%)</f>
        <v>3827.35</v>
      </c>
      <c r="J44" s="423">
        <f t="shared" ref="J44" si="78">SUM(H44-I44)</f>
        <v>378907.65</v>
      </c>
      <c r="K44" s="423">
        <f t="shared" ref="K44" si="79">SUM(J44*60%)</f>
        <v>227344.59</v>
      </c>
      <c r="L44" s="425">
        <f>SUM('PK PNS'!I42:I43)</f>
        <v>1</v>
      </c>
      <c r="M44" s="423">
        <f t="shared" si="0"/>
        <v>227344.59</v>
      </c>
      <c r="N44" s="423">
        <f t="shared" ref="N44" si="80">SUM(J44*40%)</f>
        <v>151563.06000000003</v>
      </c>
      <c r="O44" s="423">
        <f>SUM(N44*Tabel_Perhitungan!AB44)</f>
        <v>6820.337700000001</v>
      </c>
      <c r="P44" s="423">
        <f t="shared" ref="P44" si="81">SUM(N44-O44)</f>
        <v>144742.72230000002</v>
      </c>
      <c r="Q44" s="423">
        <f t="shared" si="1"/>
        <v>372087.31229999999</v>
      </c>
      <c r="R44" s="425">
        <v>0.05</v>
      </c>
      <c r="S44" s="423">
        <f t="shared" si="2"/>
        <v>18604.365614999999</v>
      </c>
      <c r="T44" s="423">
        <f t="shared" si="3"/>
        <v>353482.94668499997</v>
      </c>
      <c r="U44" s="82">
        <v>17</v>
      </c>
      <c r="V44" s="48"/>
      <c r="W44" s="331">
        <v>4404.38</v>
      </c>
      <c r="X44" s="331">
        <v>435161.55275999999</v>
      </c>
      <c r="Y44" s="331"/>
      <c r="AA44" s="42"/>
    </row>
    <row r="45" spans="1:27" ht="15" customHeight="1" x14ac:dyDescent="0.25">
      <c r="A45" s="101"/>
      <c r="B45" s="33" t="s">
        <v>161</v>
      </c>
      <c r="C45" s="352"/>
      <c r="D45" s="352"/>
      <c r="E45" s="460"/>
      <c r="F45" s="424"/>
      <c r="G45" s="458"/>
      <c r="H45" s="454"/>
      <c r="I45" s="424"/>
      <c r="J45" s="424"/>
      <c r="K45" s="424"/>
      <c r="L45" s="426"/>
      <c r="M45" s="424"/>
      <c r="N45" s="424"/>
      <c r="O45" s="424"/>
      <c r="P45" s="424"/>
      <c r="Q45" s="424"/>
      <c r="R45" s="426"/>
      <c r="S45" s="424"/>
      <c r="T45" s="424"/>
      <c r="U45" s="83"/>
      <c r="V45" s="48"/>
      <c r="W45" s="331">
        <v>3827.35</v>
      </c>
      <c r="X45" s="331">
        <v>378907.65</v>
      </c>
      <c r="Y45" s="331"/>
      <c r="AA45" s="333"/>
    </row>
    <row r="46" spans="1:27" ht="16.5" customHeight="1" x14ac:dyDescent="0.25">
      <c r="A46" s="134">
        <v>18</v>
      </c>
      <c r="B46" s="31" t="s">
        <v>53</v>
      </c>
      <c r="C46" s="351" t="s">
        <v>260</v>
      </c>
      <c r="D46" s="351" t="s">
        <v>462</v>
      </c>
      <c r="E46" s="459">
        <f>SUM('PK PNS'!E44:E45)</f>
        <v>7100</v>
      </c>
      <c r="F46" s="423">
        <v>499535</v>
      </c>
      <c r="G46" s="457">
        <v>0</v>
      </c>
      <c r="H46" s="453">
        <f>SUM(F46:G47)</f>
        <v>499535</v>
      </c>
      <c r="I46" s="423">
        <f t="shared" ref="I46" si="82">SUM(H46*1%)</f>
        <v>4995.3500000000004</v>
      </c>
      <c r="J46" s="423">
        <f t="shared" ref="J46" si="83">SUM(H46-I46)</f>
        <v>494539.65</v>
      </c>
      <c r="K46" s="423">
        <f t="shared" ref="K46" si="84">SUM(J46*60%)</f>
        <v>296723.78999999998</v>
      </c>
      <c r="L46" s="425">
        <f>SUM('PK PNS'!I44:I45)</f>
        <v>1</v>
      </c>
      <c r="M46" s="423">
        <f t="shared" si="0"/>
        <v>296723.78999999998</v>
      </c>
      <c r="N46" s="423">
        <f t="shared" ref="N46" si="85">SUM(J46*40%)</f>
        <v>197815.86000000002</v>
      </c>
      <c r="O46" s="423">
        <f>SUM(N46*Tabel_Perhitungan!AB46)</f>
        <v>11868.9516</v>
      </c>
      <c r="P46" s="423">
        <f t="shared" ref="P46" si="86">SUM(N46-O46)</f>
        <v>185946.90840000001</v>
      </c>
      <c r="Q46" s="423">
        <f t="shared" si="1"/>
        <v>482670.69839999999</v>
      </c>
      <c r="R46" s="425">
        <v>0.05</v>
      </c>
      <c r="S46" s="423">
        <f t="shared" si="2"/>
        <v>24133.534920000002</v>
      </c>
      <c r="T46" s="423">
        <f t="shared" si="3"/>
        <v>458537.16347999999</v>
      </c>
      <c r="U46" s="82">
        <v>18</v>
      </c>
      <c r="V46" s="48"/>
      <c r="W46" s="331">
        <v>4995.3500000000004</v>
      </c>
      <c r="X46" s="331">
        <v>494539.65</v>
      </c>
      <c r="Y46" s="331"/>
      <c r="AA46" s="334"/>
    </row>
    <row r="47" spans="1:27" ht="21" customHeight="1" x14ac:dyDescent="0.25">
      <c r="A47" s="101"/>
      <c r="B47" s="33" t="s">
        <v>162</v>
      </c>
      <c r="C47" s="352"/>
      <c r="D47" s="352"/>
      <c r="E47" s="460"/>
      <c r="F47" s="424"/>
      <c r="G47" s="458"/>
      <c r="H47" s="454"/>
      <c r="I47" s="424"/>
      <c r="J47" s="424"/>
      <c r="K47" s="424"/>
      <c r="L47" s="426"/>
      <c r="M47" s="424"/>
      <c r="N47" s="424"/>
      <c r="O47" s="424"/>
      <c r="P47" s="424"/>
      <c r="Q47" s="424"/>
      <c r="R47" s="426"/>
      <c r="S47" s="424"/>
      <c r="T47" s="424"/>
      <c r="U47" s="83"/>
      <c r="V47" s="48"/>
      <c r="W47" s="331">
        <v>4995.3500000000004</v>
      </c>
      <c r="X47" s="331">
        <v>473768.98470000003</v>
      </c>
      <c r="Y47" s="331"/>
      <c r="AA47" s="334"/>
    </row>
    <row r="48" spans="1:27" ht="15" customHeight="1" x14ac:dyDescent="0.25">
      <c r="A48" s="134">
        <v>19</v>
      </c>
      <c r="B48" s="31" t="s">
        <v>55</v>
      </c>
      <c r="C48" s="351" t="s">
        <v>260</v>
      </c>
      <c r="D48" s="351" t="s">
        <v>332</v>
      </c>
      <c r="E48" s="459">
        <f>SUM('PK PNS'!E46:E47)</f>
        <v>7565</v>
      </c>
      <c r="F48" s="423">
        <v>319202</v>
      </c>
      <c r="G48" s="457">
        <v>0</v>
      </c>
      <c r="H48" s="453">
        <f>SUM(F48:G49)</f>
        <v>319202</v>
      </c>
      <c r="I48" s="423">
        <f t="shared" ref="I48" si="87">SUM(H48*1%)</f>
        <v>3192.02</v>
      </c>
      <c r="J48" s="423">
        <f t="shared" ref="J48" si="88">SUM(H48-I48)</f>
        <v>316009.98</v>
      </c>
      <c r="K48" s="423">
        <f t="shared" ref="K48" si="89">SUM(J48*60%)</f>
        <v>189605.98799999998</v>
      </c>
      <c r="L48" s="425">
        <f>SUM('PK PNS'!I46:I47)</f>
        <v>1</v>
      </c>
      <c r="M48" s="423">
        <f t="shared" si="0"/>
        <v>189605.98799999998</v>
      </c>
      <c r="N48" s="423">
        <f t="shared" ref="N48" si="90">SUM(J48*40%)</f>
        <v>126403.992</v>
      </c>
      <c r="O48" s="423">
        <f>SUM(N48*Tabel_Perhitungan!AB48)</f>
        <v>16432.518960000001</v>
      </c>
      <c r="P48" s="423">
        <f t="shared" ref="P48" si="91">SUM(N48-O48)</f>
        <v>109971.47304</v>
      </c>
      <c r="Q48" s="423">
        <f t="shared" si="1"/>
        <v>299577.46103999997</v>
      </c>
      <c r="R48" s="425">
        <v>0.05</v>
      </c>
      <c r="S48" s="423">
        <f t="shared" si="2"/>
        <v>14978.873051999999</v>
      </c>
      <c r="T48" s="423">
        <f t="shared" si="3"/>
        <v>284598.58798799996</v>
      </c>
      <c r="U48" s="82">
        <v>19</v>
      </c>
      <c r="V48" s="48"/>
      <c r="W48" s="331">
        <v>3827.35</v>
      </c>
      <c r="X48" s="331">
        <v>378907.65</v>
      </c>
      <c r="Y48" s="331"/>
      <c r="AA48" s="42"/>
    </row>
    <row r="49" spans="1:27" ht="15" customHeight="1" x14ac:dyDescent="0.25">
      <c r="A49" s="101"/>
      <c r="B49" s="45" t="s">
        <v>171</v>
      </c>
      <c r="C49" s="352"/>
      <c r="D49" s="352"/>
      <c r="E49" s="460"/>
      <c r="F49" s="424"/>
      <c r="G49" s="458"/>
      <c r="H49" s="454"/>
      <c r="I49" s="424"/>
      <c r="J49" s="424"/>
      <c r="K49" s="424"/>
      <c r="L49" s="426"/>
      <c r="M49" s="424"/>
      <c r="N49" s="424"/>
      <c r="O49" s="424"/>
      <c r="P49" s="424"/>
      <c r="Q49" s="424"/>
      <c r="R49" s="426"/>
      <c r="S49" s="424"/>
      <c r="T49" s="424"/>
      <c r="U49" s="83"/>
      <c r="V49" s="48"/>
      <c r="W49" s="331">
        <v>3192.02</v>
      </c>
      <c r="X49" s="331">
        <v>307793.72051999997</v>
      </c>
      <c r="Y49" s="331"/>
      <c r="AA49" s="42"/>
    </row>
    <row r="50" spans="1:27" ht="15" customHeight="1" x14ac:dyDescent="0.25">
      <c r="A50" s="134">
        <v>20</v>
      </c>
      <c r="B50" s="31" t="s">
        <v>60</v>
      </c>
      <c r="C50" s="351" t="s">
        <v>260</v>
      </c>
      <c r="D50" s="351" t="s">
        <v>282</v>
      </c>
      <c r="E50" s="459">
        <f>SUM('PK PNS'!E48:E49)</f>
        <v>7920</v>
      </c>
      <c r="F50" s="423">
        <v>440438</v>
      </c>
      <c r="G50" s="457">
        <v>0</v>
      </c>
      <c r="H50" s="453">
        <f>SUM(F50:G51)</f>
        <v>440438</v>
      </c>
      <c r="I50" s="423">
        <f t="shared" ref="I50" si="92">SUM(H50*1%)</f>
        <v>4404.38</v>
      </c>
      <c r="J50" s="423">
        <f t="shared" ref="J50" si="93">SUM(H50-I50)</f>
        <v>436033.62</v>
      </c>
      <c r="K50" s="423">
        <f t="shared" ref="K50" si="94">SUM(J50*60%)</f>
        <v>261620.17199999999</v>
      </c>
      <c r="L50" s="425">
        <f>SUM('PK PNS'!I48:I49)</f>
        <v>1</v>
      </c>
      <c r="M50" s="423">
        <f t="shared" si="0"/>
        <v>261620.17199999999</v>
      </c>
      <c r="N50" s="423">
        <f t="shared" ref="N50" si="95">SUM(J50*40%)</f>
        <v>174413.448</v>
      </c>
      <c r="O50" s="423">
        <f>SUM(N50*Tabel_Perhitungan!AB50)</f>
        <v>0</v>
      </c>
      <c r="P50" s="423">
        <f t="shared" ref="P50" si="96">SUM(N50-O50)</f>
        <v>174413.448</v>
      </c>
      <c r="Q50" s="423">
        <f t="shared" si="1"/>
        <v>436033.62</v>
      </c>
      <c r="R50" s="425">
        <v>0.05</v>
      </c>
      <c r="S50" s="423">
        <f t="shared" si="2"/>
        <v>21801.681</v>
      </c>
      <c r="T50" s="423">
        <f t="shared" si="3"/>
        <v>414231.93900000001</v>
      </c>
      <c r="U50" s="82">
        <v>20</v>
      </c>
      <c r="V50" s="48"/>
      <c r="W50" s="331">
        <v>3827.35</v>
      </c>
      <c r="X50" s="331">
        <v>357309.91395000002</v>
      </c>
      <c r="Y50" s="331"/>
      <c r="AA50" s="42"/>
    </row>
    <row r="51" spans="1:27" ht="15" customHeight="1" x14ac:dyDescent="0.25">
      <c r="A51" s="101"/>
      <c r="B51" s="34" t="s">
        <v>177</v>
      </c>
      <c r="C51" s="352"/>
      <c r="D51" s="352"/>
      <c r="E51" s="460"/>
      <c r="F51" s="424"/>
      <c r="G51" s="458"/>
      <c r="H51" s="454"/>
      <c r="I51" s="424"/>
      <c r="J51" s="424"/>
      <c r="K51" s="424"/>
      <c r="L51" s="426"/>
      <c r="M51" s="424"/>
      <c r="N51" s="424"/>
      <c r="O51" s="424"/>
      <c r="P51" s="424"/>
      <c r="Q51" s="424"/>
      <c r="R51" s="426"/>
      <c r="S51" s="424"/>
      <c r="T51" s="424"/>
      <c r="U51" s="83"/>
      <c r="V51" s="48"/>
      <c r="W51" s="331">
        <v>3827.35</v>
      </c>
      <c r="X51" s="331">
        <v>378907.65</v>
      </c>
      <c r="Y51" s="331"/>
      <c r="AA51" s="42"/>
    </row>
    <row r="52" spans="1:27" ht="15" customHeight="1" x14ac:dyDescent="0.25">
      <c r="A52" s="134">
        <v>21</v>
      </c>
      <c r="B52" s="31" t="s">
        <v>57</v>
      </c>
      <c r="C52" s="351" t="s">
        <v>261</v>
      </c>
      <c r="D52" s="351" t="s">
        <v>178</v>
      </c>
      <c r="E52" s="459">
        <f>SUM('PK PNS'!E50:E51)</f>
        <v>6870</v>
      </c>
      <c r="F52" s="423">
        <v>382735</v>
      </c>
      <c r="G52" s="457">
        <v>0</v>
      </c>
      <c r="H52" s="453">
        <f>SUM(F52:G53)</f>
        <v>382735</v>
      </c>
      <c r="I52" s="423">
        <f t="shared" ref="I52" si="97">SUM(H52*1%)</f>
        <v>3827.35</v>
      </c>
      <c r="J52" s="423">
        <f t="shared" ref="J52" si="98">SUM(H52-I52)</f>
        <v>378907.65</v>
      </c>
      <c r="K52" s="423">
        <f t="shared" ref="K52" si="99">SUM(J52*60%)</f>
        <v>227344.59</v>
      </c>
      <c r="L52" s="425">
        <f>SUM('PK PNS'!I50:I51)</f>
        <v>1</v>
      </c>
      <c r="M52" s="423">
        <f t="shared" si="0"/>
        <v>227344.59</v>
      </c>
      <c r="N52" s="423">
        <f t="shared" ref="N52" si="100">SUM(J52*40%)</f>
        <v>151563.06000000003</v>
      </c>
      <c r="O52" s="423">
        <f>SUM(N52*Tabel_Perhitungan!AB52)</f>
        <v>0</v>
      </c>
      <c r="P52" s="423">
        <f t="shared" ref="P52" si="101">SUM(N52-O52)</f>
        <v>151563.06000000003</v>
      </c>
      <c r="Q52" s="423">
        <f t="shared" si="1"/>
        <v>378907.65</v>
      </c>
      <c r="R52" s="425">
        <v>0.05</v>
      </c>
      <c r="S52" s="423">
        <f t="shared" si="2"/>
        <v>18945.382500000003</v>
      </c>
      <c r="T52" s="423">
        <f t="shared" si="3"/>
        <v>359962.26750000002</v>
      </c>
      <c r="U52" s="82">
        <v>21</v>
      </c>
      <c r="V52" s="48"/>
      <c r="W52" s="331">
        <v>4404.38</v>
      </c>
      <c r="X52" s="331">
        <v>436033.62</v>
      </c>
      <c r="Y52" s="331"/>
      <c r="AA52" s="42"/>
    </row>
    <row r="53" spans="1:27" ht="15" customHeight="1" x14ac:dyDescent="0.25">
      <c r="A53" s="101"/>
      <c r="B53" s="47" t="s">
        <v>176</v>
      </c>
      <c r="C53" s="352"/>
      <c r="D53" s="352"/>
      <c r="E53" s="460"/>
      <c r="F53" s="424"/>
      <c r="G53" s="458"/>
      <c r="H53" s="454"/>
      <c r="I53" s="424"/>
      <c r="J53" s="424"/>
      <c r="K53" s="424"/>
      <c r="L53" s="426"/>
      <c r="M53" s="424"/>
      <c r="N53" s="424"/>
      <c r="O53" s="424"/>
      <c r="P53" s="424"/>
      <c r="Q53" s="424"/>
      <c r="R53" s="426"/>
      <c r="S53" s="424"/>
      <c r="T53" s="424"/>
      <c r="U53" s="83"/>
      <c r="V53" s="48"/>
      <c r="W53" s="331">
        <v>3996.28</v>
      </c>
      <c r="X53" s="331">
        <v>395631.72</v>
      </c>
      <c r="Y53" s="331"/>
      <c r="AA53" s="42"/>
    </row>
    <row r="54" spans="1:27" ht="15" customHeight="1" x14ac:dyDescent="0.25">
      <c r="A54" s="134">
        <v>22</v>
      </c>
      <c r="B54" s="31" t="s">
        <v>62</v>
      </c>
      <c r="C54" s="351" t="s">
        <v>260</v>
      </c>
      <c r="D54" s="351" t="s">
        <v>283</v>
      </c>
      <c r="E54" s="459">
        <f>SUM('PK PNS'!E52:E53)</f>
        <v>7421</v>
      </c>
      <c r="F54" s="423">
        <v>382735</v>
      </c>
      <c r="G54" s="457">
        <v>0</v>
      </c>
      <c r="H54" s="453">
        <f>SUM(F54:G55)</f>
        <v>382735</v>
      </c>
      <c r="I54" s="423">
        <f t="shared" ref="I54" si="102">SUM(H54*1%)</f>
        <v>3827.35</v>
      </c>
      <c r="J54" s="423">
        <f t="shared" ref="J54" si="103">SUM(H54-I54)</f>
        <v>378907.65</v>
      </c>
      <c r="K54" s="423">
        <f t="shared" ref="K54" si="104">SUM(J54*60%)</f>
        <v>227344.59</v>
      </c>
      <c r="L54" s="425">
        <f>SUM('PK PNS'!I52:I53)</f>
        <v>1</v>
      </c>
      <c r="M54" s="423">
        <f t="shared" si="0"/>
        <v>227344.59</v>
      </c>
      <c r="N54" s="423">
        <f t="shared" ref="N54" si="105">SUM(J54*40%)</f>
        <v>151563.06000000003</v>
      </c>
      <c r="O54" s="423">
        <f>SUM(N54*Tabel_Perhitungan!AB54)</f>
        <v>4546.8918000000003</v>
      </c>
      <c r="P54" s="423">
        <f t="shared" ref="P54" si="106">SUM(N54-O54)</f>
        <v>147016.16820000001</v>
      </c>
      <c r="Q54" s="423">
        <f t="shared" si="1"/>
        <v>374360.75820000004</v>
      </c>
      <c r="R54" s="425">
        <v>0.05</v>
      </c>
      <c r="S54" s="423">
        <f t="shared" si="2"/>
        <v>18718.037910000003</v>
      </c>
      <c r="T54" s="423">
        <f t="shared" si="3"/>
        <v>355642.72029000003</v>
      </c>
      <c r="U54" s="82">
        <v>22</v>
      </c>
      <c r="V54" s="48"/>
      <c r="W54" s="331">
        <v>3996.28</v>
      </c>
      <c r="X54" s="331">
        <v>395631.72</v>
      </c>
      <c r="Y54" s="331"/>
      <c r="AA54" s="42"/>
    </row>
    <row r="55" spans="1:27" ht="15" customHeight="1" x14ac:dyDescent="0.25">
      <c r="A55" s="101"/>
      <c r="B55" s="33" t="s">
        <v>149</v>
      </c>
      <c r="C55" s="352"/>
      <c r="D55" s="352"/>
      <c r="E55" s="460"/>
      <c r="F55" s="424"/>
      <c r="G55" s="458"/>
      <c r="H55" s="454"/>
      <c r="I55" s="424"/>
      <c r="J55" s="424"/>
      <c r="K55" s="424"/>
      <c r="L55" s="426"/>
      <c r="M55" s="424"/>
      <c r="N55" s="424"/>
      <c r="O55" s="424"/>
      <c r="P55" s="424"/>
      <c r="Q55" s="424"/>
      <c r="R55" s="426"/>
      <c r="S55" s="424"/>
      <c r="T55" s="424"/>
      <c r="U55" s="83"/>
      <c r="V55" s="48"/>
      <c r="W55" s="331">
        <v>3996.28</v>
      </c>
      <c r="X55" s="331">
        <v>395631.72</v>
      </c>
      <c r="Y55" s="331"/>
      <c r="AA55" s="42"/>
    </row>
    <row r="56" spans="1:27" ht="15" customHeight="1" x14ac:dyDescent="0.25">
      <c r="A56" s="134">
        <v>23</v>
      </c>
      <c r="B56" s="31" t="s">
        <v>64</v>
      </c>
      <c r="C56" s="351" t="s">
        <v>263</v>
      </c>
      <c r="D56" s="351" t="s">
        <v>284</v>
      </c>
      <c r="E56" s="459">
        <f>SUM('PK PNS'!E54:E55)</f>
        <v>6840</v>
      </c>
      <c r="F56" s="423">
        <v>382735</v>
      </c>
      <c r="G56" s="457">
        <v>0</v>
      </c>
      <c r="H56" s="453">
        <f>SUM(F56:G57)</f>
        <v>382735</v>
      </c>
      <c r="I56" s="423">
        <f t="shared" ref="I56" si="107">SUM(H56*1%)</f>
        <v>3827.35</v>
      </c>
      <c r="J56" s="423">
        <f t="shared" ref="J56" si="108">SUM(H56-I56)</f>
        <v>378907.65</v>
      </c>
      <c r="K56" s="423">
        <f t="shared" ref="K56" si="109">SUM(J56*60%)</f>
        <v>227344.59</v>
      </c>
      <c r="L56" s="425">
        <f>SUM('PK PNS'!I54:I55)</f>
        <v>1</v>
      </c>
      <c r="M56" s="423">
        <f t="shared" si="0"/>
        <v>227344.59</v>
      </c>
      <c r="N56" s="423">
        <f t="shared" ref="N56" si="110">SUM(J56*40%)</f>
        <v>151563.06000000003</v>
      </c>
      <c r="O56" s="423">
        <f>SUM(N56*Tabel_Perhitungan!AB56)</f>
        <v>9093.7836000000007</v>
      </c>
      <c r="P56" s="423">
        <f t="shared" ref="P56" si="111">SUM(N56-O56)</f>
        <v>142469.27640000003</v>
      </c>
      <c r="Q56" s="423">
        <f t="shared" si="1"/>
        <v>369813.86640000006</v>
      </c>
      <c r="R56" s="425">
        <v>0.05</v>
      </c>
      <c r="S56" s="423">
        <f t="shared" si="2"/>
        <v>18490.693320000002</v>
      </c>
      <c r="T56" s="423">
        <f t="shared" si="3"/>
        <v>351323.17308000004</v>
      </c>
      <c r="U56" s="82">
        <v>23</v>
      </c>
      <c r="V56" s="48"/>
      <c r="W56" s="331">
        <v>3996.28</v>
      </c>
      <c r="X56" s="331">
        <v>395631.72</v>
      </c>
      <c r="Y56" s="331"/>
      <c r="AA56" s="42"/>
    </row>
    <row r="57" spans="1:27" ht="15" customHeight="1" x14ac:dyDescent="0.25">
      <c r="A57" s="101"/>
      <c r="B57" s="34" t="s">
        <v>167</v>
      </c>
      <c r="C57" s="352"/>
      <c r="D57" s="352"/>
      <c r="E57" s="460"/>
      <c r="F57" s="424"/>
      <c r="G57" s="458"/>
      <c r="H57" s="454"/>
      <c r="I57" s="424"/>
      <c r="J57" s="424"/>
      <c r="K57" s="424"/>
      <c r="L57" s="426"/>
      <c r="M57" s="424"/>
      <c r="N57" s="424"/>
      <c r="O57" s="424"/>
      <c r="P57" s="424"/>
      <c r="Q57" s="424"/>
      <c r="R57" s="426"/>
      <c r="S57" s="424"/>
      <c r="T57" s="424"/>
      <c r="U57" s="83"/>
      <c r="V57" s="48"/>
      <c r="W57" s="331">
        <v>3996.28</v>
      </c>
      <c r="X57" s="331">
        <v>395631.72</v>
      </c>
      <c r="Y57" s="331"/>
      <c r="AA57" s="42"/>
    </row>
    <row r="58" spans="1:27" ht="15" customHeight="1" x14ac:dyDescent="0.25">
      <c r="A58" s="134">
        <v>24</v>
      </c>
      <c r="B58" s="31" t="s">
        <v>66</v>
      </c>
      <c r="C58" s="351" t="s">
        <v>262</v>
      </c>
      <c r="D58" s="351" t="s">
        <v>285</v>
      </c>
      <c r="E58" s="459">
        <f>SUM('PK PNS'!E56:E57)</f>
        <v>6780</v>
      </c>
      <c r="F58" s="423">
        <v>440438</v>
      </c>
      <c r="G58" s="457">
        <v>0</v>
      </c>
      <c r="H58" s="453">
        <f>SUM(F58:G59)</f>
        <v>440438</v>
      </c>
      <c r="I58" s="423">
        <f t="shared" ref="I58" si="112">SUM(H58*1%)</f>
        <v>4404.38</v>
      </c>
      <c r="J58" s="423">
        <f t="shared" ref="J58" si="113">SUM(H58-I58)</f>
        <v>436033.62</v>
      </c>
      <c r="K58" s="423">
        <f t="shared" ref="K58" si="114">SUM(J58*60%)</f>
        <v>261620.17199999999</v>
      </c>
      <c r="L58" s="425">
        <f>SUM('PK PNS'!I56:I57)</f>
        <v>1</v>
      </c>
      <c r="M58" s="423">
        <f t="shared" si="0"/>
        <v>261620.17199999999</v>
      </c>
      <c r="N58" s="423">
        <f t="shared" ref="N58" si="115">SUM(J58*40%)</f>
        <v>174413.448</v>
      </c>
      <c r="O58" s="423">
        <f>SUM(N58*Tabel_Perhitungan!AB58)</f>
        <v>0</v>
      </c>
      <c r="P58" s="423">
        <f t="shared" ref="P58" si="116">SUM(N58-O58)</f>
        <v>174413.448</v>
      </c>
      <c r="Q58" s="423">
        <f t="shared" si="1"/>
        <v>436033.62</v>
      </c>
      <c r="R58" s="425">
        <v>0.05</v>
      </c>
      <c r="S58" s="423">
        <f t="shared" si="2"/>
        <v>21801.681</v>
      </c>
      <c r="T58" s="423">
        <f t="shared" si="3"/>
        <v>414231.93900000001</v>
      </c>
      <c r="U58" s="82">
        <v>24</v>
      </c>
      <c r="V58" s="48"/>
      <c r="W58" s="331">
        <v>3996.28</v>
      </c>
      <c r="X58" s="331">
        <v>395631.72</v>
      </c>
      <c r="Y58" s="331"/>
      <c r="AA58" s="42"/>
    </row>
    <row r="59" spans="1:27" ht="15" customHeight="1" x14ac:dyDescent="0.25">
      <c r="A59" s="101"/>
      <c r="B59" s="33" t="s">
        <v>166</v>
      </c>
      <c r="C59" s="352"/>
      <c r="D59" s="352"/>
      <c r="E59" s="460"/>
      <c r="F59" s="424"/>
      <c r="G59" s="458"/>
      <c r="H59" s="454"/>
      <c r="I59" s="424"/>
      <c r="J59" s="424"/>
      <c r="K59" s="424"/>
      <c r="L59" s="426"/>
      <c r="M59" s="424"/>
      <c r="N59" s="424"/>
      <c r="O59" s="424"/>
      <c r="P59" s="424"/>
      <c r="Q59" s="424"/>
      <c r="R59" s="426"/>
      <c r="S59" s="424"/>
      <c r="T59" s="424"/>
      <c r="U59" s="83"/>
      <c r="V59" s="48"/>
      <c r="W59" s="331">
        <v>3996.28</v>
      </c>
      <c r="X59" s="331">
        <v>392862.29796</v>
      </c>
      <c r="Y59" s="331"/>
      <c r="AA59" s="332"/>
    </row>
    <row r="60" spans="1:27" ht="15" customHeight="1" x14ac:dyDescent="0.25">
      <c r="A60" s="134">
        <v>25</v>
      </c>
      <c r="B60" s="31" t="s">
        <v>68</v>
      </c>
      <c r="C60" s="351" t="s">
        <v>260</v>
      </c>
      <c r="D60" s="371" t="s">
        <v>464</v>
      </c>
      <c r="E60" s="459">
        <f>SUM('PK PNS'!E58:E59)</f>
        <v>6775</v>
      </c>
      <c r="F60" s="423">
        <v>620474</v>
      </c>
      <c r="G60" s="457">
        <v>0</v>
      </c>
      <c r="H60" s="453">
        <f>SUM(F60:G61)</f>
        <v>620474</v>
      </c>
      <c r="I60" s="423">
        <f t="shared" ref="I60" si="117">SUM(H60*1%)</f>
        <v>6204.74</v>
      </c>
      <c r="J60" s="423">
        <f t="shared" ref="J60" si="118">SUM(H60-I60)</f>
        <v>614269.26</v>
      </c>
      <c r="K60" s="423">
        <f t="shared" ref="K60" si="119">SUM(J60*60%)</f>
        <v>368561.55599999998</v>
      </c>
      <c r="L60" s="425">
        <f>SUM('PK PNS'!I58:I59)</f>
        <v>1</v>
      </c>
      <c r="M60" s="423">
        <f t="shared" si="0"/>
        <v>368561.55599999998</v>
      </c>
      <c r="N60" s="423">
        <f t="shared" ref="N60" si="120">SUM(J60*40%)</f>
        <v>245707.70400000003</v>
      </c>
      <c r="O60" s="423">
        <f>SUM(N60*Tabel_Perhitungan!AB60)</f>
        <v>0</v>
      </c>
      <c r="P60" s="423">
        <f t="shared" ref="P60" si="121">SUM(N60-O60)</f>
        <v>245707.70400000003</v>
      </c>
      <c r="Q60" s="423">
        <f t="shared" si="1"/>
        <v>614269.26</v>
      </c>
      <c r="R60" s="425">
        <v>0.05</v>
      </c>
      <c r="S60" s="423">
        <f t="shared" si="2"/>
        <v>30713.463000000003</v>
      </c>
      <c r="T60" s="423">
        <f t="shared" si="3"/>
        <v>583555.79700000002</v>
      </c>
      <c r="U60" s="82">
        <v>25</v>
      </c>
      <c r="V60" s="48"/>
      <c r="W60" s="331">
        <v>3996.28</v>
      </c>
      <c r="X60" s="331">
        <v>395631.72</v>
      </c>
      <c r="Y60" s="331"/>
      <c r="AA60" s="332"/>
    </row>
    <row r="61" spans="1:27" ht="15" customHeight="1" x14ac:dyDescent="0.25">
      <c r="A61" s="101"/>
      <c r="B61" s="33" t="s">
        <v>165</v>
      </c>
      <c r="C61" s="352"/>
      <c r="D61" s="372"/>
      <c r="E61" s="460"/>
      <c r="F61" s="424"/>
      <c r="G61" s="458"/>
      <c r="H61" s="454"/>
      <c r="I61" s="424"/>
      <c r="J61" s="424"/>
      <c r="K61" s="424"/>
      <c r="L61" s="426"/>
      <c r="M61" s="424"/>
      <c r="N61" s="424"/>
      <c r="O61" s="424"/>
      <c r="P61" s="424"/>
      <c r="Q61" s="424"/>
      <c r="R61" s="426"/>
      <c r="S61" s="424"/>
      <c r="T61" s="424"/>
      <c r="U61" s="83"/>
      <c r="V61" s="48"/>
      <c r="W61" s="331">
        <v>3996.28</v>
      </c>
      <c r="X61" s="331">
        <v>395631.72</v>
      </c>
      <c r="Y61" s="331"/>
      <c r="AA61" s="332"/>
    </row>
    <row r="62" spans="1:27" ht="15" customHeight="1" x14ac:dyDescent="0.25">
      <c r="A62" s="134">
        <v>26</v>
      </c>
      <c r="B62" s="31" t="s">
        <v>70</v>
      </c>
      <c r="C62" s="351" t="s">
        <v>260</v>
      </c>
      <c r="D62" s="371" t="s">
        <v>464</v>
      </c>
      <c r="E62" s="459">
        <f>SUM('PK PNS'!E60:E61)</f>
        <v>7200</v>
      </c>
      <c r="F62" s="423">
        <v>620474</v>
      </c>
      <c r="G62" s="457">
        <v>0</v>
      </c>
      <c r="H62" s="453">
        <f>SUM(F62:G63)</f>
        <v>620474</v>
      </c>
      <c r="I62" s="423">
        <f t="shared" ref="I62" si="122">SUM(H62*1%)</f>
        <v>6204.74</v>
      </c>
      <c r="J62" s="423">
        <f t="shared" ref="J62" si="123">SUM(H62-I62)</f>
        <v>614269.26</v>
      </c>
      <c r="K62" s="423">
        <f t="shared" ref="K62" si="124">SUM(J62*60%)</f>
        <v>368561.55599999998</v>
      </c>
      <c r="L62" s="425">
        <f>SUM('PK PNS'!I60:I61)</f>
        <v>1</v>
      </c>
      <c r="M62" s="423">
        <f t="shared" si="0"/>
        <v>368561.55599999998</v>
      </c>
      <c r="N62" s="423">
        <f t="shared" ref="N62" si="125">SUM(J62*40%)</f>
        <v>245707.70400000003</v>
      </c>
      <c r="O62" s="423">
        <f>SUM(N62*Tabel_Perhitungan!AB62)</f>
        <v>29484.924480000001</v>
      </c>
      <c r="P62" s="423">
        <f t="shared" ref="P62" si="126">SUM(N62-O62)</f>
        <v>216222.77952000004</v>
      </c>
      <c r="Q62" s="423">
        <f t="shared" si="1"/>
        <v>584784.33551999996</v>
      </c>
      <c r="R62" s="425">
        <v>0.05</v>
      </c>
      <c r="S62" s="423">
        <f t="shared" si="2"/>
        <v>29239.216776000001</v>
      </c>
      <c r="T62" s="423">
        <f t="shared" si="3"/>
        <v>555545.11874399998</v>
      </c>
      <c r="U62" s="82">
        <v>26</v>
      </c>
      <c r="V62" s="48"/>
      <c r="W62" s="331">
        <v>3996.28</v>
      </c>
      <c r="X62" s="331">
        <v>395631.72</v>
      </c>
      <c r="Y62" s="331"/>
      <c r="AA62" s="332"/>
    </row>
    <row r="63" spans="1:27" ht="15" customHeight="1" x14ac:dyDescent="0.25">
      <c r="A63" s="101"/>
      <c r="B63" s="34" t="s">
        <v>164</v>
      </c>
      <c r="C63" s="352"/>
      <c r="D63" s="372"/>
      <c r="E63" s="460"/>
      <c r="F63" s="424"/>
      <c r="G63" s="458"/>
      <c r="H63" s="454"/>
      <c r="I63" s="424"/>
      <c r="J63" s="424"/>
      <c r="K63" s="424"/>
      <c r="L63" s="426"/>
      <c r="M63" s="424"/>
      <c r="N63" s="424"/>
      <c r="O63" s="424"/>
      <c r="P63" s="424"/>
      <c r="Q63" s="424"/>
      <c r="R63" s="426"/>
      <c r="S63" s="424"/>
      <c r="T63" s="424"/>
      <c r="U63" s="83"/>
      <c r="V63" s="48"/>
      <c r="W63" s="331">
        <v>3996.28</v>
      </c>
      <c r="X63" s="331">
        <v>395631.72</v>
      </c>
      <c r="Y63" s="331"/>
      <c r="AA63" s="332"/>
    </row>
    <row r="64" spans="1:27" ht="15" customHeight="1" x14ac:dyDescent="0.25">
      <c r="A64" s="134">
        <v>27</v>
      </c>
      <c r="B64" s="31" t="s">
        <v>170</v>
      </c>
      <c r="C64" s="351" t="s">
        <v>263</v>
      </c>
      <c r="D64" s="371" t="s">
        <v>463</v>
      </c>
      <c r="E64" s="459">
        <f>SUM('PK PNS'!E62:E63)</f>
        <v>7200</v>
      </c>
      <c r="F64" s="423">
        <v>499535</v>
      </c>
      <c r="G64" s="457">
        <v>0</v>
      </c>
      <c r="H64" s="453">
        <f>SUM(F64:G65)</f>
        <v>499535</v>
      </c>
      <c r="I64" s="423">
        <f t="shared" ref="I64" si="127">SUM(H64*1%)</f>
        <v>4995.3500000000004</v>
      </c>
      <c r="J64" s="423">
        <f t="shared" ref="J64" si="128">SUM(H64-I64)</f>
        <v>494539.65</v>
      </c>
      <c r="K64" s="423">
        <f t="shared" ref="K64" si="129">SUM(J64*60%)</f>
        <v>296723.78999999998</v>
      </c>
      <c r="L64" s="425">
        <f>SUM('PK PNS'!I62:I63)</f>
        <v>1</v>
      </c>
      <c r="M64" s="423">
        <f t="shared" si="0"/>
        <v>296723.78999999998</v>
      </c>
      <c r="N64" s="423">
        <f t="shared" ref="N64" si="130">SUM(J64*40%)</f>
        <v>197815.86000000002</v>
      </c>
      <c r="O64" s="423">
        <f>SUM(N64*Tabel_Perhitungan!AB64)</f>
        <v>2967.2379000000001</v>
      </c>
      <c r="P64" s="423">
        <f t="shared" ref="P64" si="131">SUM(N64-O64)</f>
        <v>194848.62210000001</v>
      </c>
      <c r="Q64" s="423">
        <f t="shared" si="1"/>
        <v>491572.41209999996</v>
      </c>
      <c r="R64" s="425">
        <v>0.05</v>
      </c>
      <c r="S64" s="423">
        <f t="shared" si="2"/>
        <v>24578.620605</v>
      </c>
      <c r="T64" s="423">
        <f t="shared" si="3"/>
        <v>466993.79149499995</v>
      </c>
      <c r="U64" s="82">
        <v>27</v>
      </c>
      <c r="V64" s="48"/>
      <c r="W64" s="331">
        <v>3996.28</v>
      </c>
      <c r="X64" s="331">
        <v>393257.92967999994</v>
      </c>
      <c r="Y64" s="331"/>
      <c r="AA64" s="332"/>
    </row>
    <row r="65" spans="1:27" ht="15" customHeight="1" x14ac:dyDescent="0.25">
      <c r="A65" s="101"/>
      <c r="B65" s="34" t="s">
        <v>163</v>
      </c>
      <c r="C65" s="352"/>
      <c r="D65" s="372"/>
      <c r="E65" s="460"/>
      <c r="F65" s="424"/>
      <c r="G65" s="458"/>
      <c r="H65" s="454"/>
      <c r="I65" s="424"/>
      <c r="J65" s="424"/>
      <c r="K65" s="424"/>
      <c r="L65" s="426"/>
      <c r="M65" s="424"/>
      <c r="N65" s="424"/>
      <c r="O65" s="424"/>
      <c r="P65" s="424"/>
      <c r="Q65" s="424"/>
      <c r="R65" s="426"/>
      <c r="S65" s="424"/>
      <c r="T65" s="424"/>
      <c r="U65" s="83"/>
      <c r="V65" s="48"/>
      <c r="W65" s="331">
        <v>3996.28</v>
      </c>
      <c r="X65" s="331">
        <v>395631.72</v>
      </c>
      <c r="Y65" s="331"/>
      <c r="AA65" s="42"/>
    </row>
    <row r="66" spans="1:27" ht="15" customHeight="1" x14ac:dyDescent="0.25">
      <c r="A66" s="134">
        <v>28</v>
      </c>
      <c r="B66" s="41" t="s">
        <v>76</v>
      </c>
      <c r="C66" s="351" t="s">
        <v>260</v>
      </c>
      <c r="D66" s="371" t="s">
        <v>463</v>
      </c>
      <c r="E66" s="459">
        <f>SUM('PK PNS'!E64:E65)</f>
        <v>7210</v>
      </c>
      <c r="F66" s="423">
        <v>499535</v>
      </c>
      <c r="G66" s="457">
        <v>0</v>
      </c>
      <c r="H66" s="453">
        <f>SUM(F66:G67)</f>
        <v>499535</v>
      </c>
      <c r="I66" s="423">
        <f t="shared" ref="I66" si="132">SUM(H66*1%)</f>
        <v>4995.3500000000004</v>
      </c>
      <c r="J66" s="423">
        <f t="shared" ref="J66" si="133">SUM(H66-I66)</f>
        <v>494539.65</v>
      </c>
      <c r="K66" s="423">
        <f t="shared" ref="K66" si="134">SUM(J66*60%)</f>
        <v>296723.78999999998</v>
      </c>
      <c r="L66" s="425">
        <f>SUM('PK PNS'!I64:I65)</f>
        <v>1</v>
      </c>
      <c r="M66" s="423">
        <f t="shared" si="0"/>
        <v>296723.78999999998</v>
      </c>
      <c r="N66" s="423">
        <f t="shared" ref="N66" si="135">SUM(J66*40%)</f>
        <v>197815.86000000002</v>
      </c>
      <c r="O66" s="423">
        <f>SUM(N66*Tabel_Perhitungan!AB66)</f>
        <v>17803.4274</v>
      </c>
      <c r="P66" s="423">
        <f t="shared" ref="P66" si="136">SUM(N66-O66)</f>
        <v>180012.4326</v>
      </c>
      <c r="Q66" s="423">
        <f t="shared" si="1"/>
        <v>476736.22259999998</v>
      </c>
      <c r="R66" s="425">
        <v>0.05</v>
      </c>
      <c r="S66" s="423">
        <f t="shared" si="2"/>
        <v>23836.811130000002</v>
      </c>
      <c r="T66" s="423">
        <f t="shared" si="3"/>
        <v>452899.41146999999</v>
      </c>
      <c r="U66" s="82">
        <v>28</v>
      </c>
      <c r="V66" s="48"/>
      <c r="W66" s="196">
        <f>SUM(W12:W65)</f>
        <v>291341.87000000029</v>
      </c>
    </row>
    <row r="67" spans="1:27" ht="15" customHeight="1" x14ac:dyDescent="0.25">
      <c r="A67" s="101"/>
      <c r="B67" s="40" t="s">
        <v>159</v>
      </c>
      <c r="C67" s="352"/>
      <c r="D67" s="372"/>
      <c r="E67" s="460"/>
      <c r="F67" s="424"/>
      <c r="G67" s="458"/>
      <c r="H67" s="454"/>
      <c r="I67" s="424"/>
      <c r="J67" s="424"/>
      <c r="K67" s="424"/>
      <c r="L67" s="426"/>
      <c r="M67" s="424"/>
      <c r="N67" s="424"/>
      <c r="O67" s="424"/>
      <c r="P67" s="424"/>
      <c r="Q67" s="424"/>
      <c r="R67" s="426"/>
      <c r="S67" s="424"/>
      <c r="T67" s="424"/>
      <c r="U67" s="83"/>
      <c r="V67" s="48"/>
      <c r="W67" s="48"/>
    </row>
    <row r="68" spans="1:27" ht="15" customHeight="1" x14ac:dyDescent="0.25">
      <c r="A68" s="134">
        <v>29</v>
      </c>
      <c r="B68" s="41" t="s">
        <v>158</v>
      </c>
      <c r="C68" s="351" t="s">
        <v>259</v>
      </c>
      <c r="D68" s="371" t="s">
        <v>464</v>
      </c>
      <c r="E68" s="459">
        <f>SUM('PK PNS'!E66:E67)</f>
        <v>6900</v>
      </c>
      <c r="F68" s="423">
        <v>620474</v>
      </c>
      <c r="G68" s="457">
        <v>0</v>
      </c>
      <c r="H68" s="453">
        <f>SUM(F68:G69)</f>
        <v>620474</v>
      </c>
      <c r="I68" s="423">
        <f t="shared" ref="I68" si="137">SUM(H68*1%)</f>
        <v>6204.74</v>
      </c>
      <c r="J68" s="423">
        <f t="shared" ref="J68" si="138">SUM(H68-I68)</f>
        <v>614269.26</v>
      </c>
      <c r="K68" s="423">
        <f t="shared" ref="K68" si="139">SUM(J68*60%)</f>
        <v>368561.55599999998</v>
      </c>
      <c r="L68" s="425">
        <f>SUM('PK PNS'!I66:I67)</f>
        <v>1</v>
      </c>
      <c r="M68" s="423">
        <f t="shared" si="0"/>
        <v>368561.55599999998</v>
      </c>
      <c r="N68" s="423">
        <f t="shared" ref="N68" si="140">SUM(J68*40%)</f>
        <v>245707.70400000003</v>
      </c>
      <c r="O68" s="423">
        <f>SUM(N68*Tabel_Perhitungan!AB68)</f>
        <v>0</v>
      </c>
      <c r="P68" s="423">
        <f t="shared" ref="P68" si="141">SUM(N68-O68)</f>
        <v>245707.70400000003</v>
      </c>
      <c r="Q68" s="423">
        <f t="shared" si="1"/>
        <v>614269.26</v>
      </c>
      <c r="R68" s="425">
        <v>0.15</v>
      </c>
      <c r="S68" s="423">
        <f t="shared" si="2"/>
        <v>92140.388999999996</v>
      </c>
      <c r="T68" s="423">
        <f t="shared" si="3"/>
        <v>522128.87100000004</v>
      </c>
      <c r="U68" s="82">
        <v>29</v>
      </c>
      <c r="V68" s="48"/>
      <c r="W68" s="48"/>
    </row>
    <row r="69" spans="1:27" ht="15" customHeight="1" x14ac:dyDescent="0.25">
      <c r="A69" s="101"/>
      <c r="B69" s="40" t="s">
        <v>157</v>
      </c>
      <c r="C69" s="352"/>
      <c r="D69" s="372"/>
      <c r="E69" s="460"/>
      <c r="F69" s="424"/>
      <c r="G69" s="458"/>
      <c r="H69" s="454"/>
      <c r="I69" s="424"/>
      <c r="J69" s="424"/>
      <c r="K69" s="424"/>
      <c r="L69" s="426"/>
      <c r="M69" s="424"/>
      <c r="N69" s="424"/>
      <c r="O69" s="424"/>
      <c r="P69" s="424"/>
      <c r="Q69" s="424"/>
      <c r="R69" s="426"/>
      <c r="S69" s="424"/>
      <c r="T69" s="424"/>
      <c r="U69" s="83"/>
      <c r="V69" s="48"/>
      <c r="W69" s="456"/>
    </row>
    <row r="70" spans="1:27" ht="15" customHeight="1" x14ac:dyDescent="0.25">
      <c r="A70" s="134">
        <v>30</v>
      </c>
      <c r="B70" s="41" t="s">
        <v>156</v>
      </c>
      <c r="C70" s="351" t="s">
        <v>260</v>
      </c>
      <c r="D70" s="351" t="s">
        <v>293</v>
      </c>
      <c r="E70" s="459">
        <f>SUM('PK PNS'!E68:E69)</f>
        <v>7643</v>
      </c>
      <c r="F70" s="423">
        <v>440438</v>
      </c>
      <c r="G70" s="457">
        <v>0</v>
      </c>
      <c r="H70" s="453">
        <f>SUM(F70:G71)</f>
        <v>440438</v>
      </c>
      <c r="I70" s="423">
        <f t="shared" ref="I70" si="142">SUM(H70*1%)</f>
        <v>4404.38</v>
      </c>
      <c r="J70" s="423">
        <f t="shared" ref="J70" si="143">SUM(H70-I70)</f>
        <v>436033.62</v>
      </c>
      <c r="K70" s="423">
        <f t="shared" ref="K70" si="144">SUM(J70*60%)</f>
        <v>261620.17199999999</v>
      </c>
      <c r="L70" s="425">
        <f>SUM('PK PNS'!I68:I69)</f>
        <v>1</v>
      </c>
      <c r="M70" s="423">
        <f t="shared" si="0"/>
        <v>261620.17199999999</v>
      </c>
      <c r="N70" s="423">
        <f t="shared" ref="N70" si="145">SUM(J70*40%)</f>
        <v>174413.448</v>
      </c>
      <c r="O70" s="423">
        <f>SUM(N70*Tabel_Perhitungan!AB70)</f>
        <v>15697.21032</v>
      </c>
      <c r="P70" s="423">
        <f t="shared" ref="P70" si="146">SUM(N70-O70)</f>
        <v>158716.23767999999</v>
      </c>
      <c r="Q70" s="423">
        <f t="shared" si="1"/>
        <v>420336.40967999998</v>
      </c>
      <c r="R70" s="425">
        <v>0.05</v>
      </c>
      <c r="S70" s="423">
        <f t="shared" si="2"/>
        <v>21016.820484</v>
      </c>
      <c r="T70" s="423">
        <f t="shared" si="3"/>
        <v>399319.58919599996</v>
      </c>
      <c r="U70" s="82">
        <v>30</v>
      </c>
      <c r="V70" s="48"/>
      <c r="W70" s="456"/>
    </row>
    <row r="71" spans="1:27" ht="15" customHeight="1" x14ac:dyDescent="0.25">
      <c r="A71" s="101"/>
      <c r="B71" s="40" t="s">
        <v>155</v>
      </c>
      <c r="C71" s="352"/>
      <c r="D71" s="352"/>
      <c r="E71" s="460"/>
      <c r="F71" s="424"/>
      <c r="G71" s="458"/>
      <c r="H71" s="454"/>
      <c r="I71" s="424"/>
      <c r="J71" s="424"/>
      <c r="K71" s="424"/>
      <c r="L71" s="426"/>
      <c r="M71" s="424"/>
      <c r="N71" s="424"/>
      <c r="O71" s="424"/>
      <c r="P71" s="424"/>
      <c r="Q71" s="424"/>
      <c r="R71" s="426"/>
      <c r="S71" s="424"/>
      <c r="T71" s="424"/>
      <c r="U71" s="83"/>
      <c r="V71" s="48"/>
      <c r="W71" s="23"/>
    </row>
    <row r="72" spans="1:27" ht="18" customHeight="1" x14ac:dyDescent="0.25">
      <c r="A72" s="134">
        <v>31</v>
      </c>
      <c r="B72" s="41" t="s">
        <v>82</v>
      </c>
      <c r="C72" s="351" t="s">
        <v>262</v>
      </c>
      <c r="D72" s="351" t="s">
        <v>294</v>
      </c>
      <c r="E72" s="459">
        <f>SUM('PK PNS'!E70:E71)</f>
        <v>7275</v>
      </c>
      <c r="F72" s="423">
        <v>382735</v>
      </c>
      <c r="G72" s="457">
        <v>0</v>
      </c>
      <c r="H72" s="453">
        <f>SUM(F72:G73)</f>
        <v>382735</v>
      </c>
      <c r="I72" s="423">
        <f t="shared" ref="I72" si="147">SUM(H72*1%)</f>
        <v>3827.35</v>
      </c>
      <c r="J72" s="423">
        <f t="shared" ref="J72" si="148">SUM(H72-I72)</f>
        <v>378907.65</v>
      </c>
      <c r="K72" s="423">
        <f t="shared" ref="K72" si="149">SUM(J72*60%)</f>
        <v>227344.59</v>
      </c>
      <c r="L72" s="425">
        <f>SUM('PK PNS'!I70:I71)</f>
        <v>1</v>
      </c>
      <c r="M72" s="423">
        <f t="shared" si="0"/>
        <v>227344.59</v>
      </c>
      <c r="N72" s="423">
        <f t="shared" ref="N72" si="150">SUM(J72*40%)</f>
        <v>151563.06000000003</v>
      </c>
      <c r="O72" s="423">
        <f>SUM(N72*Tabel_Perhitungan!AB72)</f>
        <v>0</v>
      </c>
      <c r="P72" s="423">
        <f t="shared" ref="P72" si="151">SUM(N72-O72)</f>
        <v>151563.06000000003</v>
      </c>
      <c r="Q72" s="423">
        <f t="shared" si="1"/>
        <v>378907.65</v>
      </c>
      <c r="R72" s="425">
        <v>0.05</v>
      </c>
      <c r="S72" s="423">
        <f t="shared" si="2"/>
        <v>18945.382500000003</v>
      </c>
      <c r="T72" s="423">
        <f t="shared" si="3"/>
        <v>359962.26750000002</v>
      </c>
      <c r="U72" s="82">
        <v>31</v>
      </c>
      <c r="V72" s="48"/>
      <c r="W72" s="23"/>
    </row>
    <row r="73" spans="1:27" ht="18" customHeight="1" x14ac:dyDescent="0.25">
      <c r="A73" s="101"/>
      <c r="B73" s="40" t="s">
        <v>154</v>
      </c>
      <c r="C73" s="352"/>
      <c r="D73" s="352"/>
      <c r="E73" s="460"/>
      <c r="F73" s="424"/>
      <c r="G73" s="458"/>
      <c r="H73" s="454"/>
      <c r="I73" s="424"/>
      <c r="J73" s="424"/>
      <c r="K73" s="424"/>
      <c r="L73" s="426"/>
      <c r="M73" s="424"/>
      <c r="N73" s="424"/>
      <c r="O73" s="424"/>
      <c r="P73" s="424"/>
      <c r="Q73" s="424"/>
      <c r="R73" s="426"/>
      <c r="S73" s="424"/>
      <c r="T73" s="424"/>
      <c r="U73" s="83"/>
      <c r="V73" s="48"/>
      <c r="W73" s="29"/>
    </row>
    <row r="74" spans="1:27" ht="18" customHeight="1" x14ac:dyDescent="0.25">
      <c r="A74" s="134">
        <v>32</v>
      </c>
      <c r="B74" s="44" t="s">
        <v>152</v>
      </c>
      <c r="C74" s="351" t="s">
        <v>260</v>
      </c>
      <c r="D74" s="351" t="s">
        <v>462</v>
      </c>
      <c r="E74" s="459">
        <f>SUM('PK PNS'!E72:E73)</f>
        <v>6759</v>
      </c>
      <c r="F74" s="423">
        <v>499535</v>
      </c>
      <c r="G74" s="457">
        <v>0</v>
      </c>
      <c r="H74" s="453">
        <f>SUM(F74:G75)</f>
        <v>499535</v>
      </c>
      <c r="I74" s="423">
        <f t="shared" ref="I74" si="152">SUM(H74*1%)</f>
        <v>4995.3500000000004</v>
      </c>
      <c r="J74" s="423">
        <f t="shared" ref="J74" si="153">SUM(H74-I74)</f>
        <v>494539.65</v>
      </c>
      <c r="K74" s="423">
        <f t="shared" ref="K74" si="154">SUM(J74*60%)</f>
        <v>296723.78999999998</v>
      </c>
      <c r="L74" s="425">
        <f>SUM('PK PNS'!I72:I73)</f>
        <v>1</v>
      </c>
      <c r="M74" s="423">
        <f t="shared" si="0"/>
        <v>296723.78999999998</v>
      </c>
      <c r="N74" s="423">
        <f t="shared" ref="N74" si="155">SUM(J74*40%)</f>
        <v>197815.86000000002</v>
      </c>
      <c r="O74" s="423">
        <f>SUM(N74*Tabel_Perhitungan!AB74)</f>
        <v>0</v>
      </c>
      <c r="P74" s="423">
        <f t="shared" ref="P74" si="156">SUM(N74-O74)</f>
        <v>197815.86000000002</v>
      </c>
      <c r="Q74" s="423">
        <f t="shared" si="1"/>
        <v>494539.65</v>
      </c>
      <c r="R74" s="425">
        <v>0.05</v>
      </c>
      <c r="S74" s="423">
        <f t="shared" si="2"/>
        <v>24726.982500000002</v>
      </c>
      <c r="T74" s="423">
        <f t="shared" si="3"/>
        <v>469812.66750000004</v>
      </c>
      <c r="U74" s="82">
        <v>32</v>
      </c>
      <c r="V74" s="48"/>
    </row>
    <row r="75" spans="1:27" ht="18" customHeight="1" x14ac:dyDescent="0.25">
      <c r="A75" s="101"/>
      <c r="B75" s="45" t="s">
        <v>153</v>
      </c>
      <c r="C75" s="352"/>
      <c r="D75" s="352"/>
      <c r="E75" s="460"/>
      <c r="F75" s="424"/>
      <c r="G75" s="458"/>
      <c r="H75" s="454"/>
      <c r="I75" s="424"/>
      <c r="J75" s="424"/>
      <c r="K75" s="424"/>
      <c r="L75" s="426"/>
      <c r="M75" s="424"/>
      <c r="N75" s="424"/>
      <c r="O75" s="424"/>
      <c r="P75" s="424"/>
      <c r="Q75" s="424"/>
      <c r="R75" s="426"/>
      <c r="S75" s="424"/>
      <c r="T75" s="424"/>
      <c r="U75" s="83"/>
      <c r="V75" s="48"/>
      <c r="W75" s="29"/>
    </row>
    <row r="76" spans="1:27" ht="18" customHeight="1" x14ac:dyDescent="0.25">
      <c r="A76" s="134">
        <v>33</v>
      </c>
      <c r="B76" s="42" t="s">
        <v>151</v>
      </c>
      <c r="C76" s="351" t="s">
        <v>260</v>
      </c>
      <c r="D76" s="351" t="s">
        <v>287</v>
      </c>
      <c r="E76" s="459">
        <f>SUM('PK PNS'!E74:E75)</f>
        <v>6820</v>
      </c>
      <c r="F76" s="423">
        <v>440438</v>
      </c>
      <c r="G76" s="457">
        <v>0</v>
      </c>
      <c r="H76" s="453">
        <f>SUM(F76:G77)</f>
        <v>440438</v>
      </c>
      <c r="I76" s="423">
        <f t="shared" ref="I76" si="157">SUM(H76*1%)</f>
        <v>4404.38</v>
      </c>
      <c r="J76" s="423">
        <f t="shared" ref="J76" si="158">SUM(H76-I76)</f>
        <v>436033.62</v>
      </c>
      <c r="K76" s="423">
        <f t="shared" ref="K76" si="159">SUM(J76*60%)</f>
        <v>261620.17199999999</v>
      </c>
      <c r="L76" s="425">
        <f>SUM('PK PNS'!I74:I75)</f>
        <v>1</v>
      </c>
      <c r="M76" s="423">
        <f t="shared" si="0"/>
        <v>261620.17199999999</v>
      </c>
      <c r="N76" s="423">
        <f t="shared" ref="N76" si="160">SUM(J76*40%)</f>
        <v>174413.448</v>
      </c>
      <c r="O76" s="423">
        <f>SUM(N76*Tabel_Perhitungan!AB76)</f>
        <v>872.06724000000008</v>
      </c>
      <c r="P76" s="423">
        <f t="shared" ref="P76" si="161">SUM(N76-O76)</f>
        <v>173541.38076</v>
      </c>
      <c r="Q76" s="423">
        <f t="shared" si="1"/>
        <v>435161.55275999999</v>
      </c>
      <c r="R76" s="425">
        <v>0.05</v>
      </c>
      <c r="S76" s="423">
        <f t="shared" si="2"/>
        <v>21758.077638000002</v>
      </c>
      <c r="T76" s="423">
        <f t="shared" si="3"/>
        <v>413403.47512199997</v>
      </c>
      <c r="U76" s="82">
        <v>33</v>
      </c>
      <c r="V76" s="48"/>
    </row>
    <row r="77" spans="1:27" ht="18" customHeight="1" x14ac:dyDescent="0.25">
      <c r="A77" s="101"/>
      <c r="B77" s="43" t="s">
        <v>150</v>
      </c>
      <c r="C77" s="352"/>
      <c r="D77" s="352"/>
      <c r="E77" s="460"/>
      <c r="F77" s="424"/>
      <c r="G77" s="458"/>
      <c r="H77" s="454"/>
      <c r="I77" s="424"/>
      <c r="J77" s="424"/>
      <c r="K77" s="424"/>
      <c r="L77" s="426"/>
      <c r="M77" s="424"/>
      <c r="N77" s="424"/>
      <c r="O77" s="424"/>
      <c r="P77" s="424"/>
      <c r="Q77" s="424"/>
      <c r="R77" s="426"/>
      <c r="S77" s="424"/>
      <c r="T77" s="424"/>
      <c r="U77" s="83"/>
      <c r="V77" s="48"/>
      <c r="W77" s="29"/>
    </row>
    <row r="78" spans="1:27" ht="18" customHeight="1" x14ac:dyDescent="0.25">
      <c r="A78" s="134">
        <v>34</v>
      </c>
      <c r="B78" s="96" t="s">
        <v>132</v>
      </c>
      <c r="C78" s="351" t="s">
        <v>260</v>
      </c>
      <c r="D78" s="373" t="s">
        <v>288</v>
      </c>
      <c r="E78" s="459">
        <f>SUM('PK PNS'!E76:E77)</f>
        <v>7100</v>
      </c>
      <c r="F78" s="423">
        <v>382735</v>
      </c>
      <c r="G78" s="457">
        <v>0</v>
      </c>
      <c r="H78" s="453">
        <f>SUM(F78:G79)</f>
        <v>382735</v>
      </c>
      <c r="I78" s="423">
        <f t="shared" ref="I78" si="162">SUM(H78*1%)</f>
        <v>3827.35</v>
      </c>
      <c r="J78" s="423">
        <f t="shared" ref="J78" si="163">SUM(H78-I78)</f>
        <v>378907.65</v>
      </c>
      <c r="K78" s="423">
        <f t="shared" ref="K78" si="164">SUM(J78*60%)</f>
        <v>227344.59</v>
      </c>
      <c r="L78" s="425">
        <f>SUM('PK PNS'!I76:I77)</f>
        <v>1</v>
      </c>
      <c r="M78" s="423">
        <f t="shared" ref="M78:M118" si="165">SUM(K78*L78)</f>
        <v>227344.59</v>
      </c>
      <c r="N78" s="423">
        <f t="shared" ref="N78" si="166">SUM(J78*40%)</f>
        <v>151563.06000000003</v>
      </c>
      <c r="O78" s="423">
        <f>SUM(N78*Tabel_Perhitungan!AB78)</f>
        <v>0</v>
      </c>
      <c r="P78" s="423">
        <f t="shared" ref="P78" si="167">SUM(N78-O78)</f>
        <v>151563.06000000003</v>
      </c>
      <c r="Q78" s="423">
        <f t="shared" ref="Q78:Q118" si="168">SUM(M78+P78)</f>
        <v>378907.65</v>
      </c>
      <c r="R78" s="425">
        <v>0.05</v>
      </c>
      <c r="S78" s="423">
        <f t="shared" ref="S78:S118" si="169">SUM(Q78*R78)</f>
        <v>18945.382500000003</v>
      </c>
      <c r="T78" s="423">
        <f t="shared" ref="T78:T118" si="170">SUM(Q78-S78)</f>
        <v>359962.26750000002</v>
      </c>
      <c r="U78" s="82">
        <v>34</v>
      </c>
      <c r="V78" s="48"/>
    </row>
    <row r="79" spans="1:27" ht="18" customHeight="1" x14ac:dyDescent="0.25">
      <c r="A79" s="101"/>
      <c r="B79" s="93" t="s">
        <v>185</v>
      </c>
      <c r="C79" s="352"/>
      <c r="D79" s="374"/>
      <c r="E79" s="460"/>
      <c r="F79" s="424"/>
      <c r="G79" s="458"/>
      <c r="H79" s="454"/>
      <c r="I79" s="424"/>
      <c r="J79" s="424"/>
      <c r="K79" s="424"/>
      <c r="L79" s="426"/>
      <c r="M79" s="424"/>
      <c r="N79" s="424"/>
      <c r="O79" s="424"/>
      <c r="P79" s="424"/>
      <c r="Q79" s="424"/>
      <c r="R79" s="426"/>
      <c r="S79" s="424"/>
      <c r="T79" s="424"/>
      <c r="U79" s="83"/>
      <c r="V79" s="48"/>
      <c r="W79" s="29"/>
    </row>
    <row r="80" spans="1:27" ht="18" customHeight="1" x14ac:dyDescent="0.25">
      <c r="A80" s="134">
        <v>35</v>
      </c>
      <c r="B80" s="279" t="s">
        <v>219</v>
      </c>
      <c r="C80" s="351" t="s">
        <v>263</v>
      </c>
      <c r="D80" s="371" t="s">
        <v>463</v>
      </c>
      <c r="E80" s="459">
        <f>SUM('PK PNS'!E78:E79)</f>
        <v>6835</v>
      </c>
      <c r="F80" s="423">
        <v>499535</v>
      </c>
      <c r="G80" s="457">
        <v>0</v>
      </c>
      <c r="H80" s="453">
        <f>SUM(F80:G81)</f>
        <v>499535</v>
      </c>
      <c r="I80" s="423">
        <f t="shared" ref="I80" si="171">SUM(H80*1%)</f>
        <v>4995.3500000000004</v>
      </c>
      <c r="J80" s="423">
        <f t="shared" ref="J80" si="172">SUM(H80-I80)</f>
        <v>494539.65</v>
      </c>
      <c r="K80" s="423">
        <f t="shared" ref="K80" si="173">SUM(J80*60%)</f>
        <v>296723.78999999998</v>
      </c>
      <c r="L80" s="425">
        <f>SUM('PK PNS'!I78:I79)</f>
        <v>1</v>
      </c>
      <c r="M80" s="423">
        <f t="shared" si="165"/>
        <v>296723.78999999998</v>
      </c>
      <c r="N80" s="423">
        <f t="shared" ref="N80" si="174">SUM(J80*40%)</f>
        <v>197815.86000000002</v>
      </c>
      <c r="O80" s="423">
        <f>SUM(N80*Tabel_Perhitungan!AB80)</f>
        <v>0</v>
      </c>
      <c r="P80" s="423">
        <f t="shared" ref="P80" si="175">SUM(N80-O80)</f>
        <v>197815.86000000002</v>
      </c>
      <c r="Q80" s="423">
        <f t="shared" si="168"/>
        <v>494539.65</v>
      </c>
      <c r="R80" s="425">
        <v>0.05</v>
      </c>
      <c r="S80" s="423">
        <f t="shared" si="169"/>
        <v>24726.982500000002</v>
      </c>
      <c r="T80" s="423">
        <f t="shared" si="170"/>
        <v>469812.66750000004</v>
      </c>
      <c r="U80" s="82">
        <v>35</v>
      </c>
      <c r="V80" s="48"/>
    </row>
    <row r="81" spans="1:23" ht="18" customHeight="1" x14ac:dyDescent="0.25">
      <c r="A81" s="101"/>
      <c r="B81" s="93" t="s">
        <v>220</v>
      </c>
      <c r="C81" s="352"/>
      <c r="D81" s="372"/>
      <c r="E81" s="460"/>
      <c r="F81" s="424"/>
      <c r="G81" s="458"/>
      <c r="H81" s="454"/>
      <c r="I81" s="424"/>
      <c r="J81" s="424"/>
      <c r="K81" s="424"/>
      <c r="L81" s="426"/>
      <c r="M81" s="424"/>
      <c r="N81" s="424"/>
      <c r="O81" s="424"/>
      <c r="P81" s="424"/>
      <c r="Q81" s="424"/>
      <c r="R81" s="426"/>
      <c r="S81" s="424"/>
      <c r="T81" s="424"/>
      <c r="U81" s="83"/>
      <c r="V81" s="48"/>
      <c r="W81" s="29"/>
    </row>
    <row r="82" spans="1:23" ht="18" customHeight="1" x14ac:dyDescent="0.25">
      <c r="A82" s="134">
        <v>36</v>
      </c>
      <c r="B82" s="280" t="s">
        <v>221</v>
      </c>
      <c r="C82" s="351" t="s">
        <v>263</v>
      </c>
      <c r="D82" s="371" t="s">
        <v>463</v>
      </c>
      <c r="E82" s="459">
        <f>SUM('PK PNS'!E80:E81)</f>
        <v>6885</v>
      </c>
      <c r="F82" s="423">
        <v>499535</v>
      </c>
      <c r="G82" s="457">
        <v>0</v>
      </c>
      <c r="H82" s="453">
        <f>SUM(F82:G83)</f>
        <v>499535</v>
      </c>
      <c r="I82" s="423">
        <f t="shared" ref="I82" si="176">SUM(H82*1%)</f>
        <v>4995.3500000000004</v>
      </c>
      <c r="J82" s="423">
        <f t="shared" ref="J82" si="177">SUM(H82-I82)</f>
        <v>494539.65</v>
      </c>
      <c r="K82" s="423">
        <f t="shared" ref="K82" si="178">SUM(J82*60%)</f>
        <v>296723.78999999998</v>
      </c>
      <c r="L82" s="425">
        <f>SUM('PK PNS'!I80:I81)</f>
        <v>1</v>
      </c>
      <c r="M82" s="423">
        <f t="shared" si="165"/>
        <v>296723.78999999998</v>
      </c>
      <c r="N82" s="423">
        <f t="shared" ref="N82" si="179">SUM(J82*40%)</f>
        <v>197815.86000000002</v>
      </c>
      <c r="O82" s="423">
        <f>SUM(N82*Tabel_Perhitungan!AB82)</f>
        <v>20770.665300000001</v>
      </c>
      <c r="P82" s="423">
        <f t="shared" ref="P82" si="180">SUM(N82-O82)</f>
        <v>177045.19470000002</v>
      </c>
      <c r="Q82" s="423">
        <f t="shared" si="168"/>
        <v>473768.98470000003</v>
      </c>
      <c r="R82" s="425">
        <v>0.05</v>
      </c>
      <c r="S82" s="423">
        <f t="shared" si="169"/>
        <v>23688.449235000004</v>
      </c>
      <c r="T82" s="423">
        <f t="shared" si="170"/>
        <v>450080.53546500002</v>
      </c>
      <c r="U82" s="82">
        <v>36</v>
      </c>
      <c r="V82" s="48"/>
      <c r="W82" s="29"/>
    </row>
    <row r="83" spans="1:23" ht="18" customHeight="1" x14ac:dyDescent="0.25">
      <c r="A83" s="101"/>
      <c r="B83" s="93" t="s">
        <v>222</v>
      </c>
      <c r="C83" s="352"/>
      <c r="D83" s="372"/>
      <c r="E83" s="460"/>
      <c r="F83" s="424"/>
      <c r="G83" s="458"/>
      <c r="H83" s="454"/>
      <c r="I83" s="424"/>
      <c r="J83" s="424"/>
      <c r="K83" s="424"/>
      <c r="L83" s="426"/>
      <c r="M83" s="424"/>
      <c r="N83" s="424"/>
      <c r="O83" s="424"/>
      <c r="P83" s="424"/>
      <c r="Q83" s="424"/>
      <c r="R83" s="426"/>
      <c r="S83" s="424"/>
      <c r="T83" s="424"/>
      <c r="U83" s="83"/>
      <c r="V83" s="48"/>
      <c r="W83" s="29"/>
    </row>
    <row r="84" spans="1:23" ht="18" customHeight="1" x14ac:dyDescent="0.25">
      <c r="A84" s="134">
        <v>37</v>
      </c>
      <c r="B84" s="279" t="s">
        <v>223</v>
      </c>
      <c r="C84" s="357" t="s">
        <v>328</v>
      </c>
      <c r="D84" s="351" t="s">
        <v>289</v>
      </c>
      <c r="E84" s="459">
        <f>SUM('PK PNS'!E82:E83)</f>
        <v>7445</v>
      </c>
      <c r="F84" s="423">
        <v>382735</v>
      </c>
      <c r="G84" s="457">
        <v>0</v>
      </c>
      <c r="H84" s="453">
        <f>SUM(F84:G85)</f>
        <v>382735</v>
      </c>
      <c r="I84" s="423">
        <f t="shared" ref="I84" si="181">SUM(H84*1%)</f>
        <v>3827.35</v>
      </c>
      <c r="J84" s="423">
        <f t="shared" ref="J84" si="182">SUM(H84-I84)</f>
        <v>378907.65</v>
      </c>
      <c r="K84" s="423">
        <f t="shared" ref="K84" si="183">SUM(J84*60%)</f>
        <v>227344.59</v>
      </c>
      <c r="L84" s="425">
        <f>SUM('PK PNS'!I82:I83)</f>
        <v>1</v>
      </c>
      <c r="M84" s="423">
        <f t="shared" si="165"/>
        <v>227344.59</v>
      </c>
      <c r="N84" s="423">
        <f t="shared" ref="N84" si="184">SUM(J84*40%)</f>
        <v>151563.06000000003</v>
      </c>
      <c r="O84" s="423">
        <f>SUM(N84*Tabel_Perhitungan!AB84)</f>
        <v>0</v>
      </c>
      <c r="P84" s="423">
        <f t="shared" ref="P84" si="185">SUM(N84-O84)</f>
        <v>151563.06000000003</v>
      </c>
      <c r="Q84" s="423">
        <f t="shared" si="168"/>
        <v>378907.65</v>
      </c>
      <c r="R84" s="425"/>
      <c r="S84" s="423">
        <f t="shared" si="169"/>
        <v>0</v>
      </c>
      <c r="T84" s="423">
        <f t="shared" si="170"/>
        <v>378907.65</v>
      </c>
      <c r="U84" s="82">
        <v>37</v>
      </c>
      <c r="V84" s="48"/>
    </row>
    <row r="85" spans="1:23" ht="18" customHeight="1" x14ac:dyDescent="0.25">
      <c r="A85" s="101"/>
      <c r="B85" s="94" t="s">
        <v>224</v>
      </c>
      <c r="C85" s="358"/>
      <c r="D85" s="352"/>
      <c r="E85" s="460"/>
      <c r="F85" s="424"/>
      <c r="G85" s="458"/>
      <c r="H85" s="454"/>
      <c r="I85" s="424"/>
      <c r="J85" s="424"/>
      <c r="K85" s="424"/>
      <c r="L85" s="426"/>
      <c r="M85" s="424"/>
      <c r="N85" s="424"/>
      <c r="O85" s="424"/>
      <c r="P85" s="424"/>
      <c r="Q85" s="424"/>
      <c r="R85" s="426"/>
      <c r="S85" s="424"/>
      <c r="T85" s="424"/>
      <c r="U85" s="83"/>
      <c r="V85" s="48"/>
    </row>
    <row r="86" spans="1:23" ht="15" customHeight="1" x14ac:dyDescent="0.25">
      <c r="A86" s="134">
        <v>38</v>
      </c>
      <c r="B86" s="95" t="s">
        <v>352</v>
      </c>
      <c r="C86" s="351" t="s">
        <v>263</v>
      </c>
      <c r="D86" s="351" t="s">
        <v>290</v>
      </c>
      <c r="E86" s="459">
        <f>SUM('PK PNS'!E84:E85)</f>
        <v>7435</v>
      </c>
      <c r="F86" s="423">
        <v>319202</v>
      </c>
      <c r="G86" s="457">
        <v>0</v>
      </c>
      <c r="H86" s="453">
        <f>SUM(F86:G87)</f>
        <v>319202</v>
      </c>
      <c r="I86" s="423">
        <f t="shared" ref="I86" si="186">SUM(H86*1%)</f>
        <v>3192.02</v>
      </c>
      <c r="J86" s="423">
        <f t="shared" ref="J86" si="187">SUM(H86-I86)</f>
        <v>316009.98</v>
      </c>
      <c r="K86" s="423">
        <f t="shared" ref="K86" si="188">SUM(J86*60%)</f>
        <v>189605.98799999998</v>
      </c>
      <c r="L86" s="425">
        <f>SUM('PK PNS'!I84:I85)</f>
        <v>1</v>
      </c>
      <c r="M86" s="423">
        <f t="shared" si="165"/>
        <v>189605.98799999998</v>
      </c>
      <c r="N86" s="423">
        <f t="shared" ref="N86" si="189">SUM(J86*40%)</f>
        <v>126403.992</v>
      </c>
      <c r="O86" s="423">
        <f>SUM(N86*Tabel_Perhitungan!AB86)</f>
        <v>8216.2594800000006</v>
      </c>
      <c r="P86" s="423">
        <f t="shared" ref="P86" si="190">SUM(N86-O86)</f>
        <v>118187.73251999999</v>
      </c>
      <c r="Q86" s="423">
        <f t="shared" si="168"/>
        <v>307793.72051999997</v>
      </c>
      <c r="R86" s="425">
        <v>0.05</v>
      </c>
      <c r="S86" s="423">
        <f t="shared" si="169"/>
        <v>15389.686025999999</v>
      </c>
      <c r="T86" s="423">
        <f t="shared" si="170"/>
        <v>292404.03449399996</v>
      </c>
      <c r="U86" s="82">
        <v>38</v>
      </c>
      <c r="V86" s="48"/>
    </row>
    <row r="87" spans="1:23" ht="15" customHeight="1" x14ac:dyDescent="0.25">
      <c r="A87" s="101"/>
      <c r="B87" s="93" t="s">
        <v>226</v>
      </c>
      <c r="C87" s="352"/>
      <c r="D87" s="352"/>
      <c r="E87" s="460"/>
      <c r="F87" s="424"/>
      <c r="G87" s="458"/>
      <c r="H87" s="454"/>
      <c r="I87" s="424"/>
      <c r="J87" s="424"/>
      <c r="K87" s="424"/>
      <c r="L87" s="426"/>
      <c r="M87" s="424"/>
      <c r="N87" s="424"/>
      <c r="O87" s="424"/>
      <c r="P87" s="424"/>
      <c r="Q87" s="424"/>
      <c r="R87" s="426"/>
      <c r="S87" s="424"/>
      <c r="T87" s="424"/>
      <c r="U87" s="83"/>
      <c r="V87" s="48"/>
    </row>
    <row r="88" spans="1:23" ht="15" customHeight="1" x14ac:dyDescent="0.25">
      <c r="A88" s="134">
        <v>39</v>
      </c>
      <c r="B88" s="94" t="s">
        <v>246</v>
      </c>
      <c r="C88" s="351" t="s">
        <v>261</v>
      </c>
      <c r="D88" s="351" t="s">
        <v>286</v>
      </c>
      <c r="E88" s="459">
        <f>SUM('PK PNS'!E86:E87)</f>
        <v>7662</v>
      </c>
      <c r="F88" s="423">
        <v>382735</v>
      </c>
      <c r="G88" s="461">
        <v>0</v>
      </c>
      <c r="H88" s="453">
        <f>SUM(F88:G89)</f>
        <v>382735</v>
      </c>
      <c r="I88" s="423">
        <f t="shared" ref="I88" si="191">SUM(H88*1%)</f>
        <v>3827.35</v>
      </c>
      <c r="J88" s="423">
        <f t="shared" ref="J88" si="192">SUM(H88-I88)</f>
        <v>378907.65</v>
      </c>
      <c r="K88" s="423">
        <f t="shared" ref="K88" si="193">SUM(J88*60%)</f>
        <v>227344.59</v>
      </c>
      <c r="L88" s="425">
        <f>SUM('PK PNS'!I86:I87)</f>
        <v>1</v>
      </c>
      <c r="M88" s="423">
        <f t="shared" si="165"/>
        <v>227344.59</v>
      </c>
      <c r="N88" s="423">
        <f t="shared" ref="N88" si="194">SUM(J88*40%)</f>
        <v>151563.06000000003</v>
      </c>
      <c r="O88" s="423">
        <f>SUM(N88*Tabel_Perhitungan!AB88)</f>
        <v>21597.736050000003</v>
      </c>
      <c r="P88" s="423">
        <f t="shared" ref="P88" si="195">SUM(N88-O88)</f>
        <v>129965.32395000002</v>
      </c>
      <c r="Q88" s="423">
        <f t="shared" si="168"/>
        <v>357309.91395000002</v>
      </c>
      <c r="R88" s="425">
        <v>0.05</v>
      </c>
      <c r="S88" s="423">
        <f t="shared" si="169"/>
        <v>17865.495697500002</v>
      </c>
      <c r="T88" s="423">
        <f t="shared" si="170"/>
        <v>339444.41825250001</v>
      </c>
      <c r="U88" s="82">
        <v>39</v>
      </c>
      <c r="V88" s="48"/>
    </row>
    <row r="89" spans="1:23" ht="15" customHeight="1" x14ac:dyDescent="0.25">
      <c r="A89" s="101"/>
      <c r="B89" s="99" t="s">
        <v>245</v>
      </c>
      <c r="C89" s="352"/>
      <c r="D89" s="352"/>
      <c r="E89" s="460"/>
      <c r="F89" s="424"/>
      <c r="G89" s="462"/>
      <c r="H89" s="454"/>
      <c r="I89" s="424"/>
      <c r="J89" s="424"/>
      <c r="K89" s="424"/>
      <c r="L89" s="426"/>
      <c r="M89" s="424"/>
      <c r="N89" s="424"/>
      <c r="O89" s="424"/>
      <c r="P89" s="424"/>
      <c r="Q89" s="424"/>
      <c r="R89" s="426"/>
      <c r="S89" s="424"/>
      <c r="T89" s="424"/>
      <c r="U89" s="83"/>
      <c r="V89" s="48"/>
    </row>
    <row r="90" spans="1:23" ht="15" customHeight="1" x14ac:dyDescent="0.25">
      <c r="A90" s="57">
        <v>40</v>
      </c>
      <c r="B90" s="96" t="s">
        <v>238</v>
      </c>
      <c r="C90" s="351" t="s">
        <v>261</v>
      </c>
      <c r="D90" s="351" t="s">
        <v>291</v>
      </c>
      <c r="E90" s="459">
        <f>SUM('PK PNS'!E88:E89)</f>
        <v>7705</v>
      </c>
      <c r="F90" s="423">
        <v>382735</v>
      </c>
      <c r="G90" s="457">
        <v>0</v>
      </c>
      <c r="H90" s="453">
        <f>SUM(F90:G91)</f>
        <v>382735</v>
      </c>
      <c r="I90" s="423">
        <f t="shared" ref="I90" si="196">SUM(H90*1%)</f>
        <v>3827.35</v>
      </c>
      <c r="J90" s="423">
        <f t="shared" ref="J90" si="197">SUM(H90-I90)</f>
        <v>378907.65</v>
      </c>
      <c r="K90" s="423">
        <f t="shared" ref="K90" si="198">SUM(J90*60%)</f>
        <v>227344.59</v>
      </c>
      <c r="L90" s="425">
        <f>SUM('PK PNS'!I88:I89)</f>
        <v>1</v>
      </c>
      <c r="M90" s="423">
        <f t="shared" si="165"/>
        <v>227344.59</v>
      </c>
      <c r="N90" s="423">
        <f t="shared" ref="N90" si="199">SUM(J90*40%)</f>
        <v>151563.06000000003</v>
      </c>
      <c r="O90" s="423">
        <f>SUM(N90*Tabel_Perhitungan!AB90)</f>
        <v>0</v>
      </c>
      <c r="P90" s="423">
        <f t="shared" ref="P90" si="200">SUM(N90-O90)</f>
        <v>151563.06000000003</v>
      </c>
      <c r="Q90" s="423">
        <f t="shared" si="168"/>
        <v>378907.65</v>
      </c>
      <c r="R90" s="425">
        <v>0.05</v>
      </c>
      <c r="S90" s="423">
        <f t="shared" si="169"/>
        <v>18945.382500000003</v>
      </c>
      <c r="T90" s="423">
        <f t="shared" si="170"/>
        <v>359962.26750000002</v>
      </c>
      <c r="U90" s="84">
        <v>40</v>
      </c>
      <c r="V90" s="48"/>
    </row>
    <row r="91" spans="1:23" ht="15" customHeight="1" x14ac:dyDescent="0.25">
      <c r="A91" s="57"/>
      <c r="B91" s="102" t="s">
        <v>239</v>
      </c>
      <c r="C91" s="352"/>
      <c r="D91" s="352"/>
      <c r="E91" s="460"/>
      <c r="F91" s="424"/>
      <c r="G91" s="458"/>
      <c r="H91" s="454"/>
      <c r="I91" s="424"/>
      <c r="J91" s="424"/>
      <c r="K91" s="424"/>
      <c r="L91" s="426"/>
      <c r="M91" s="424"/>
      <c r="N91" s="424"/>
      <c r="O91" s="424"/>
      <c r="P91" s="424"/>
      <c r="Q91" s="424"/>
      <c r="R91" s="426"/>
      <c r="S91" s="424"/>
      <c r="T91" s="424"/>
      <c r="U91" s="84"/>
      <c r="V91" s="48"/>
    </row>
    <row r="92" spans="1:23" ht="15" customHeight="1" x14ac:dyDescent="0.25">
      <c r="A92" s="134">
        <v>41</v>
      </c>
      <c r="B92" s="103" t="s">
        <v>241</v>
      </c>
      <c r="C92" s="351" t="s">
        <v>263</v>
      </c>
      <c r="D92" s="351" t="s">
        <v>292</v>
      </c>
      <c r="E92" s="459">
        <f>SUM('PK PNS'!E90:E91)</f>
        <v>6810</v>
      </c>
      <c r="F92" s="423">
        <v>440438</v>
      </c>
      <c r="G92" s="463">
        <v>0</v>
      </c>
      <c r="H92" s="453">
        <f>SUM(F92:G93)</f>
        <v>440438</v>
      </c>
      <c r="I92" s="423">
        <f t="shared" ref="I92" si="201">SUM(H92*1%)</f>
        <v>4404.38</v>
      </c>
      <c r="J92" s="423">
        <f t="shared" ref="J92" si="202">SUM(H92-I92)</f>
        <v>436033.62</v>
      </c>
      <c r="K92" s="423">
        <f t="shared" ref="K92" si="203">SUM(J92*60%)</f>
        <v>261620.17199999999</v>
      </c>
      <c r="L92" s="425">
        <f>SUM('PK PNS'!I90:I91)</f>
        <v>1</v>
      </c>
      <c r="M92" s="423">
        <f t="shared" si="165"/>
        <v>261620.17199999999</v>
      </c>
      <c r="N92" s="423">
        <f t="shared" ref="N92" si="204">SUM(J92*40%)</f>
        <v>174413.448</v>
      </c>
      <c r="O92" s="423">
        <f>SUM(N92*Tabel_Perhitungan!AB92)</f>
        <v>0</v>
      </c>
      <c r="P92" s="423">
        <f t="shared" ref="P92" si="205">SUM(N92-O92)</f>
        <v>174413.448</v>
      </c>
      <c r="Q92" s="423">
        <f t="shared" si="168"/>
        <v>436033.62</v>
      </c>
      <c r="R92" s="425">
        <v>0.05</v>
      </c>
      <c r="S92" s="423">
        <f t="shared" si="169"/>
        <v>21801.681</v>
      </c>
      <c r="T92" s="423">
        <f t="shared" si="170"/>
        <v>414231.93900000001</v>
      </c>
      <c r="U92" s="82">
        <v>41</v>
      </c>
      <c r="V92" s="48"/>
    </row>
    <row r="93" spans="1:23" ht="15" customHeight="1" x14ac:dyDescent="0.25">
      <c r="A93" s="101"/>
      <c r="B93" s="32" t="s">
        <v>242</v>
      </c>
      <c r="C93" s="352"/>
      <c r="D93" s="352"/>
      <c r="E93" s="460"/>
      <c r="F93" s="424"/>
      <c r="G93" s="464"/>
      <c r="H93" s="454"/>
      <c r="I93" s="424"/>
      <c r="J93" s="424"/>
      <c r="K93" s="424"/>
      <c r="L93" s="426"/>
      <c r="M93" s="424"/>
      <c r="N93" s="424"/>
      <c r="O93" s="424"/>
      <c r="P93" s="424"/>
      <c r="Q93" s="424"/>
      <c r="R93" s="426"/>
      <c r="S93" s="424"/>
      <c r="T93" s="424"/>
      <c r="U93" s="83"/>
      <c r="V93" s="48"/>
    </row>
    <row r="94" spans="1:23" ht="15" customHeight="1" x14ac:dyDescent="0.25">
      <c r="A94" s="134">
        <v>42</v>
      </c>
      <c r="B94" s="190" t="s">
        <v>353</v>
      </c>
      <c r="C94" s="353" t="s">
        <v>365</v>
      </c>
      <c r="D94" s="351" t="s">
        <v>354</v>
      </c>
      <c r="E94" s="459">
        <f>SUM('PK PNS'!E92:E93)</f>
        <v>7890</v>
      </c>
      <c r="F94" s="423">
        <f>SUM(499535*80%)</f>
        <v>399628</v>
      </c>
      <c r="G94" s="461">
        <v>0</v>
      </c>
      <c r="H94" s="453">
        <f>SUM(F94:G95)</f>
        <v>399628</v>
      </c>
      <c r="I94" s="423">
        <f t="shared" ref="I94" si="206">SUM(H94*1%)</f>
        <v>3996.28</v>
      </c>
      <c r="J94" s="423">
        <f t="shared" ref="J94" si="207">SUM(H94-I94)</f>
        <v>395631.72</v>
      </c>
      <c r="K94" s="423">
        <f t="shared" ref="K94" si="208">SUM(J94*60%)</f>
        <v>237379.03199999998</v>
      </c>
      <c r="L94" s="425">
        <f>SUM('PK PNS'!I92:I93)</f>
        <v>1</v>
      </c>
      <c r="M94" s="423">
        <f t="shared" si="165"/>
        <v>237379.03199999998</v>
      </c>
      <c r="N94" s="423">
        <f t="shared" ref="N94" si="209">SUM(J94*40%)</f>
        <v>158252.68799999999</v>
      </c>
      <c r="O94" s="423">
        <f>SUM(N94*Tabel_Perhitungan!AB94)</f>
        <v>0</v>
      </c>
      <c r="P94" s="423">
        <f t="shared" ref="P94" si="210">SUM(N94-O94)</f>
        <v>158252.68799999999</v>
      </c>
      <c r="Q94" s="423">
        <f t="shared" si="168"/>
        <v>395631.72</v>
      </c>
      <c r="R94" s="425">
        <v>0.05</v>
      </c>
      <c r="S94" s="423">
        <f t="shared" si="169"/>
        <v>19781.585999999999</v>
      </c>
      <c r="T94" s="423">
        <f t="shared" si="170"/>
        <v>375850.13399999996</v>
      </c>
      <c r="U94" s="82">
        <v>42</v>
      </c>
      <c r="V94" s="48"/>
    </row>
    <row r="95" spans="1:23" ht="15" customHeight="1" x14ac:dyDescent="0.25">
      <c r="A95" s="101"/>
      <c r="B95" s="191" t="s">
        <v>426</v>
      </c>
      <c r="C95" s="354"/>
      <c r="D95" s="352"/>
      <c r="E95" s="460"/>
      <c r="F95" s="424"/>
      <c r="G95" s="462"/>
      <c r="H95" s="454"/>
      <c r="I95" s="424"/>
      <c r="J95" s="424"/>
      <c r="K95" s="424"/>
      <c r="L95" s="426"/>
      <c r="M95" s="424"/>
      <c r="N95" s="424"/>
      <c r="O95" s="424"/>
      <c r="P95" s="424"/>
      <c r="Q95" s="424"/>
      <c r="R95" s="426"/>
      <c r="S95" s="424"/>
      <c r="T95" s="424"/>
      <c r="U95" s="83"/>
      <c r="V95" s="48"/>
    </row>
    <row r="96" spans="1:23" ht="15" customHeight="1" x14ac:dyDescent="0.25">
      <c r="A96" s="134">
        <v>43</v>
      </c>
      <c r="B96" s="190" t="s">
        <v>355</v>
      </c>
      <c r="C96" s="353" t="s">
        <v>365</v>
      </c>
      <c r="D96" s="351" t="s">
        <v>354</v>
      </c>
      <c r="E96" s="459">
        <f>SUM('PK PNS'!E94:E95)</f>
        <v>7290</v>
      </c>
      <c r="F96" s="423">
        <f t="shared" ref="F96" si="211">SUM(499535*80%)</f>
        <v>399628</v>
      </c>
      <c r="G96" s="457">
        <v>0</v>
      </c>
      <c r="H96" s="453">
        <f>SUM(F96:G97)</f>
        <v>399628</v>
      </c>
      <c r="I96" s="423">
        <f t="shared" ref="I96" si="212">SUM(H96*1%)</f>
        <v>3996.28</v>
      </c>
      <c r="J96" s="423">
        <f t="shared" ref="J96" si="213">SUM(H96-I96)</f>
        <v>395631.72</v>
      </c>
      <c r="K96" s="423">
        <f t="shared" ref="K96" si="214">SUM(J96*60%)</f>
        <v>237379.03199999998</v>
      </c>
      <c r="L96" s="425">
        <f>SUM('PK PNS'!I94:I95)</f>
        <v>1</v>
      </c>
      <c r="M96" s="423">
        <f t="shared" si="165"/>
        <v>237379.03199999998</v>
      </c>
      <c r="N96" s="423">
        <f t="shared" ref="N96" si="215">SUM(J96*40%)</f>
        <v>158252.68799999999</v>
      </c>
      <c r="O96" s="423">
        <f>SUM(N96*Tabel_Perhitungan!AB96)</f>
        <v>0</v>
      </c>
      <c r="P96" s="423">
        <f t="shared" ref="P96" si="216">SUM(N96-O96)</f>
        <v>158252.68799999999</v>
      </c>
      <c r="Q96" s="423">
        <f t="shared" si="168"/>
        <v>395631.72</v>
      </c>
      <c r="R96" s="425">
        <v>0.05</v>
      </c>
      <c r="S96" s="423">
        <f t="shared" si="169"/>
        <v>19781.585999999999</v>
      </c>
      <c r="T96" s="423">
        <f t="shared" si="170"/>
        <v>375850.13399999996</v>
      </c>
      <c r="U96" s="82">
        <v>43</v>
      </c>
      <c r="V96" s="48"/>
    </row>
    <row r="97" spans="1:23" ht="15" customHeight="1" x14ac:dyDescent="0.25">
      <c r="A97" s="101"/>
      <c r="B97" s="191" t="s">
        <v>427</v>
      </c>
      <c r="C97" s="354"/>
      <c r="D97" s="352"/>
      <c r="E97" s="460"/>
      <c r="F97" s="424"/>
      <c r="G97" s="458"/>
      <c r="H97" s="454"/>
      <c r="I97" s="424"/>
      <c r="J97" s="424"/>
      <c r="K97" s="424"/>
      <c r="L97" s="426"/>
      <c r="M97" s="424"/>
      <c r="N97" s="424"/>
      <c r="O97" s="424"/>
      <c r="P97" s="424"/>
      <c r="Q97" s="424"/>
      <c r="R97" s="426"/>
      <c r="S97" s="424"/>
      <c r="T97" s="424"/>
      <c r="U97" s="83"/>
      <c r="V97" s="48"/>
    </row>
    <row r="98" spans="1:23" ht="15" customHeight="1" x14ac:dyDescent="0.25">
      <c r="A98" s="134">
        <v>44</v>
      </c>
      <c r="B98" s="190" t="s">
        <v>356</v>
      </c>
      <c r="C98" s="353" t="s">
        <v>365</v>
      </c>
      <c r="D98" s="351" t="s">
        <v>354</v>
      </c>
      <c r="E98" s="459">
        <f>SUM('PK PNS'!E96:E97)</f>
        <v>7320</v>
      </c>
      <c r="F98" s="423">
        <f t="shared" ref="F98" si="217">SUM(499535*80%)</f>
        <v>399628</v>
      </c>
      <c r="G98" s="463">
        <v>0</v>
      </c>
      <c r="H98" s="453">
        <f>SUM(F98:G99)</f>
        <v>399628</v>
      </c>
      <c r="I98" s="423">
        <f t="shared" ref="I98" si="218">SUM(H98*1%)</f>
        <v>3996.28</v>
      </c>
      <c r="J98" s="423">
        <f t="shared" ref="J98" si="219">SUM(H98-I98)</f>
        <v>395631.72</v>
      </c>
      <c r="K98" s="423">
        <f t="shared" ref="K98" si="220">SUM(J98*60%)</f>
        <v>237379.03199999998</v>
      </c>
      <c r="L98" s="425">
        <f>SUM('PK PNS'!I96:I97)</f>
        <v>1</v>
      </c>
      <c r="M98" s="423">
        <f t="shared" si="165"/>
        <v>237379.03199999998</v>
      </c>
      <c r="N98" s="423">
        <f t="shared" ref="N98" si="221">SUM(J98*40%)</f>
        <v>158252.68799999999</v>
      </c>
      <c r="O98" s="423">
        <f>SUM(N98*Tabel_Perhitungan!AB98)</f>
        <v>0</v>
      </c>
      <c r="P98" s="423">
        <f t="shared" ref="P98" si="222">SUM(N98-O98)</f>
        <v>158252.68799999999</v>
      </c>
      <c r="Q98" s="423">
        <f t="shared" si="168"/>
        <v>395631.72</v>
      </c>
      <c r="R98" s="425">
        <v>0.05</v>
      </c>
      <c r="S98" s="423">
        <f t="shared" si="169"/>
        <v>19781.585999999999</v>
      </c>
      <c r="T98" s="423">
        <f t="shared" si="170"/>
        <v>375850.13399999996</v>
      </c>
      <c r="U98" s="82">
        <v>44</v>
      </c>
      <c r="V98" s="48"/>
    </row>
    <row r="99" spans="1:23" ht="15" customHeight="1" x14ac:dyDescent="0.25">
      <c r="A99" s="101"/>
      <c r="B99" s="191" t="s">
        <v>428</v>
      </c>
      <c r="C99" s="354"/>
      <c r="D99" s="352"/>
      <c r="E99" s="460"/>
      <c r="F99" s="424"/>
      <c r="G99" s="464"/>
      <c r="H99" s="454"/>
      <c r="I99" s="424"/>
      <c r="J99" s="424"/>
      <c r="K99" s="424"/>
      <c r="L99" s="426"/>
      <c r="M99" s="424"/>
      <c r="N99" s="424"/>
      <c r="O99" s="424"/>
      <c r="P99" s="424"/>
      <c r="Q99" s="424"/>
      <c r="R99" s="426"/>
      <c r="S99" s="424"/>
      <c r="T99" s="424"/>
      <c r="U99" s="83"/>
      <c r="V99" s="48"/>
    </row>
    <row r="100" spans="1:23" ht="18" customHeight="1" x14ac:dyDescent="0.25">
      <c r="A100" s="134">
        <v>45</v>
      </c>
      <c r="B100" s="190" t="s">
        <v>357</v>
      </c>
      <c r="C100" s="353" t="s">
        <v>365</v>
      </c>
      <c r="D100" s="351" t="s">
        <v>354</v>
      </c>
      <c r="E100" s="459">
        <f>SUM('PK PNS'!E98:E99)</f>
        <v>8005</v>
      </c>
      <c r="F100" s="423">
        <f t="shared" ref="F100" si="223">SUM(499535*80%)</f>
        <v>399628</v>
      </c>
      <c r="G100" s="461">
        <v>0</v>
      </c>
      <c r="H100" s="453">
        <f>SUM(F100:G101)</f>
        <v>399628</v>
      </c>
      <c r="I100" s="423">
        <f t="shared" ref="I100" si="224">SUM(H100*1%)</f>
        <v>3996.28</v>
      </c>
      <c r="J100" s="423">
        <f t="shared" ref="J100" si="225">SUM(H100-I100)</f>
        <v>395631.72</v>
      </c>
      <c r="K100" s="423">
        <f t="shared" ref="K100" si="226">SUM(J100*60%)</f>
        <v>237379.03199999998</v>
      </c>
      <c r="L100" s="425">
        <f>SUM('PK PNS'!I98:I99)</f>
        <v>1</v>
      </c>
      <c r="M100" s="423">
        <f t="shared" si="165"/>
        <v>237379.03199999998</v>
      </c>
      <c r="N100" s="423">
        <f t="shared" ref="N100" si="227">SUM(J100*40%)</f>
        <v>158252.68799999999</v>
      </c>
      <c r="O100" s="423">
        <f>SUM(N100*Tabel_Perhitungan!AB100)</f>
        <v>0</v>
      </c>
      <c r="P100" s="423">
        <f t="shared" ref="P100" si="228">SUM(N100-O100)</f>
        <v>158252.68799999999</v>
      </c>
      <c r="Q100" s="423">
        <f t="shared" si="168"/>
        <v>395631.72</v>
      </c>
      <c r="R100" s="425">
        <v>0.05</v>
      </c>
      <c r="S100" s="423">
        <f t="shared" si="169"/>
        <v>19781.585999999999</v>
      </c>
      <c r="T100" s="423">
        <f t="shared" si="170"/>
        <v>375850.13399999996</v>
      </c>
      <c r="U100" s="82">
        <v>45</v>
      </c>
      <c r="V100" s="48"/>
    </row>
    <row r="101" spans="1:23" ht="18" customHeight="1" x14ac:dyDescent="0.25">
      <c r="A101" s="101"/>
      <c r="B101" s="191" t="s">
        <v>429</v>
      </c>
      <c r="C101" s="354"/>
      <c r="D101" s="352"/>
      <c r="E101" s="460"/>
      <c r="F101" s="424"/>
      <c r="G101" s="462"/>
      <c r="H101" s="454"/>
      <c r="I101" s="424"/>
      <c r="J101" s="424"/>
      <c r="K101" s="424"/>
      <c r="L101" s="426"/>
      <c r="M101" s="424"/>
      <c r="N101" s="424"/>
      <c r="O101" s="424"/>
      <c r="P101" s="424"/>
      <c r="Q101" s="424"/>
      <c r="R101" s="426"/>
      <c r="S101" s="424"/>
      <c r="T101" s="424"/>
      <c r="U101" s="84"/>
      <c r="V101" s="48"/>
      <c r="W101" s="145"/>
    </row>
    <row r="102" spans="1:23" ht="18" customHeight="1" x14ac:dyDescent="0.25">
      <c r="A102" s="57">
        <v>46</v>
      </c>
      <c r="B102" s="190" t="s">
        <v>363</v>
      </c>
      <c r="C102" s="353" t="s">
        <v>365</v>
      </c>
      <c r="D102" s="351" t="s">
        <v>354</v>
      </c>
      <c r="E102" s="459">
        <f>SUM('PK PNS'!E100:E101)</f>
        <v>7790</v>
      </c>
      <c r="F102" s="423">
        <f t="shared" ref="F102" si="229">SUM(499535*80%)</f>
        <v>399628</v>
      </c>
      <c r="G102" s="457">
        <v>0</v>
      </c>
      <c r="H102" s="453">
        <f>SUM(F102:G103)</f>
        <v>399628</v>
      </c>
      <c r="I102" s="423">
        <f t="shared" ref="I102" si="230">SUM(H102*1%)</f>
        <v>3996.28</v>
      </c>
      <c r="J102" s="423">
        <f t="shared" ref="J102" si="231">SUM(H102-I102)</f>
        <v>395631.72</v>
      </c>
      <c r="K102" s="423">
        <f t="shared" ref="K102" si="232">SUM(J102*60%)</f>
        <v>237379.03199999998</v>
      </c>
      <c r="L102" s="425">
        <f>SUM('PK PNS'!I100:I101)</f>
        <v>1</v>
      </c>
      <c r="M102" s="423">
        <f t="shared" si="165"/>
        <v>237379.03199999998</v>
      </c>
      <c r="N102" s="423">
        <f t="shared" ref="N102" si="233">SUM(J102*40%)</f>
        <v>158252.68799999999</v>
      </c>
      <c r="O102" s="423">
        <f>SUM(N102*Tabel_Perhitungan!AB102)</f>
        <v>0</v>
      </c>
      <c r="P102" s="423">
        <f t="shared" ref="P102" si="234">SUM(N102-O102)</f>
        <v>158252.68799999999</v>
      </c>
      <c r="Q102" s="423">
        <f t="shared" si="168"/>
        <v>395631.72</v>
      </c>
      <c r="R102" s="425">
        <v>0.05</v>
      </c>
      <c r="S102" s="423">
        <f t="shared" si="169"/>
        <v>19781.585999999999</v>
      </c>
      <c r="T102" s="423">
        <f t="shared" si="170"/>
        <v>375850.13399999996</v>
      </c>
      <c r="U102" s="82">
        <v>46</v>
      </c>
      <c r="V102" s="48"/>
    </row>
    <row r="103" spans="1:23" ht="18" customHeight="1" x14ac:dyDescent="0.25">
      <c r="A103" s="57"/>
      <c r="B103" s="191" t="s">
        <v>430</v>
      </c>
      <c r="C103" s="354"/>
      <c r="D103" s="352"/>
      <c r="E103" s="460"/>
      <c r="F103" s="424"/>
      <c r="G103" s="458"/>
      <c r="H103" s="454"/>
      <c r="I103" s="424"/>
      <c r="J103" s="424"/>
      <c r="K103" s="424"/>
      <c r="L103" s="426"/>
      <c r="M103" s="424"/>
      <c r="N103" s="424"/>
      <c r="O103" s="424"/>
      <c r="P103" s="424"/>
      <c r="Q103" s="424"/>
      <c r="R103" s="426"/>
      <c r="S103" s="424"/>
      <c r="T103" s="424"/>
      <c r="U103" s="83"/>
      <c r="V103" s="48"/>
      <c r="W103" s="29"/>
    </row>
    <row r="104" spans="1:23" ht="15" customHeight="1" x14ac:dyDescent="0.25">
      <c r="A104" s="134">
        <v>47</v>
      </c>
      <c r="B104" s="190" t="s">
        <v>364</v>
      </c>
      <c r="C104" s="353" t="s">
        <v>365</v>
      </c>
      <c r="D104" s="351" t="s">
        <v>354</v>
      </c>
      <c r="E104" s="459">
        <f>SUM('PK PNS'!E102:E103)</f>
        <v>7320</v>
      </c>
      <c r="F104" s="423">
        <f t="shared" ref="F104" si="235">SUM(499535*80%)</f>
        <v>399628</v>
      </c>
      <c r="G104" s="463">
        <v>0</v>
      </c>
      <c r="H104" s="453">
        <f>SUM(F104:G105)</f>
        <v>399628</v>
      </c>
      <c r="I104" s="423">
        <f t="shared" ref="I104" si="236">SUM(H104*1%)</f>
        <v>3996.28</v>
      </c>
      <c r="J104" s="423">
        <f t="shared" ref="J104" si="237">SUM(H104-I104)</f>
        <v>395631.72</v>
      </c>
      <c r="K104" s="423">
        <f t="shared" ref="K104" si="238">SUM(J104*60%)</f>
        <v>237379.03199999998</v>
      </c>
      <c r="L104" s="425">
        <f>SUM('PK PNS'!I102:I103)</f>
        <v>1</v>
      </c>
      <c r="M104" s="423">
        <f t="shared" si="165"/>
        <v>237379.03199999998</v>
      </c>
      <c r="N104" s="423">
        <f t="shared" ref="N104" si="239">SUM(J104*40%)</f>
        <v>158252.68799999999</v>
      </c>
      <c r="O104" s="423">
        <f>SUM(N104*Tabel_Perhitungan!AB104)</f>
        <v>0</v>
      </c>
      <c r="P104" s="423">
        <f t="shared" ref="P104" si="240">SUM(N104-O104)</f>
        <v>158252.68799999999</v>
      </c>
      <c r="Q104" s="423">
        <f t="shared" si="168"/>
        <v>395631.72</v>
      </c>
      <c r="R104" s="425">
        <v>0.05</v>
      </c>
      <c r="S104" s="423">
        <f t="shared" si="169"/>
        <v>19781.585999999999</v>
      </c>
      <c r="T104" s="423">
        <f t="shared" si="170"/>
        <v>375850.13399999996</v>
      </c>
      <c r="U104" s="82">
        <v>47</v>
      </c>
      <c r="V104" s="48"/>
      <c r="W104" s="29"/>
    </row>
    <row r="105" spans="1:23" ht="15" customHeight="1" x14ac:dyDescent="0.25">
      <c r="A105" s="101"/>
      <c r="B105" s="192" t="s">
        <v>431</v>
      </c>
      <c r="C105" s="354"/>
      <c r="D105" s="352"/>
      <c r="E105" s="460"/>
      <c r="F105" s="424"/>
      <c r="G105" s="464"/>
      <c r="H105" s="454"/>
      <c r="I105" s="424"/>
      <c r="J105" s="424"/>
      <c r="K105" s="424"/>
      <c r="L105" s="426"/>
      <c r="M105" s="424"/>
      <c r="N105" s="424"/>
      <c r="O105" s="424"/>
      <c r="P105" s="424"/>
      <c r="Q105" s="424"/>
      <c r="R105" s="426"/>
      <c r="S105" s="424"/>
      <c r="T105" s="424"/>
      <c r="U105" s="83"/>
      <c r="V105" s="48"/>
      <c r="W105" s="29"/>
    </row>
    <row r="106" spans="1:23" ht="15" customHeight="1" x14ac:dyDescent="0.25">
      <c r="A106" s="134">
        <v>48</v>
      </c>
      <c r="B106" s="190" t="s">
        <v>358</v>
      </c>
      <c r="C106" s="353" t="s">
        <v>365</v>
      </c>
      <c r="D106" s="355" t="s">
        <v>359</v>
      </c>
      <c r="E106" s="459">
        <f>SUM('PK PNS'!E104:E105)</f>
        <v>6990</v>
      </c>
      <c r="F106" s="423">
        <f t="shared" ref="F106" si="241">SUM(499535*80%)</f>
        <v>399628</v>
      </c>
      <c r="G106" s="461">
        <v>0</v>
      </c>
      <c r="H106" s="453">
        <f>SUM(F106:G107)</f>
        <v>399628</v>
      </c>
      <c r="I106" s="423">
        <f t="shared" ref="I106" si="242">SUM(H106*1%)</f>
        <v>3996.28</v>
      </c>
      <c r="J106" s="423">
        <f t="shared" ref="J106" si="243">SUM(H106-I106)</f>
        <v>395631.72</v>
      </c>
      <c r="K106" s="423">
        <f t="shared" ref="K106" si="244">SUM(J106*60%)</f>
        <v>237379.03199999998</v>
      </c>
      <c r="L106" s="425">
        <f>SUM('PK PNS'!I104:I105)</f>
        <v>1</v>
      </c>
      <c r="M106" s="423">
        <f t="shared" si="165"/>
        <v>237379.03199999998</v>
      </c>
      <c r="N106" s="423">
        <f t="shared" ref="N106" si="245">SUM(J106*40%)</f>
        <v>158252.68799999999</v>
      </c>
      <c r="O106" s="423">
        <f>SUM(N106*Tabel_Perhitungan!AB106)</f>
        <v>2769.4220400000004</v>
      </c>
      <c r="P106" s="423">
        <f t="shared" ref="P106" si="246">SUM(N106-O106)</f>
        <v>155483.26595999999</v>
      </c>
      <c r="Q106" s="423">
        <f t="shared" si="168"/>
        <v>392862.29796</v>
      </c>
      <c r="R106" s="425">
        <v>0.05</v>
      </c>
      <c r="S106" s="423">
        <f t="shared" si="169"/>
        <v>19643.114898</v>
      </c>
      <c r="T106" s="423">
        <f t="shared" si="170"/>
        <v>373219.18306199997</v>
      </c>
      <c r="U106" s="82">
        <v>48</v>
      </c>
      <c r="V106" s="48"/>
      <c r="W106" s="29"/>
    </row>
    <row r="107" spans="1:23" ht="15" customHeight="1" x14ac:dyDescent="0.25">
      <c r="A107" s="101"/>
      <c r="B107" s="191" t="s">
        <v>432</v>
      </c>
      <c r="C107" s="354"/>
      <c r="D107" s="356"/>
      <c r="E107" s="460"/>
      <c r="F107" s="424"/>
      <c r="G107" s="462"/>
      <c r="H107" s="454"/>
      <c r="I107" s="424"/>
      <c r="J107" s="424"/>
      <c r="K107" s="424"/>
      <c r="L107" s="426"/>
      <c r="M107" s="424"/>
      <c r="N107" s="424"/>
      <c r="O107" s="424"/>
      <c r="P107" s="424"/>
      <c r="Q107" s="424"/>
      <c r="R107" s="426"/>
      <c r="S107" s="424"/>
      <c r="T107" s="424"/>
      <c r="U107" s="83"/>
      <c r="V107" s="48"/>
    </row>
    <row r="108" spans="1:23" ht="15" customHeight="1" x14ac:dyDescent="0.25">
      <c r="A108" s="134">
        <v>49</v>
      </c>
      <c r="B108" s="190" t="s">
        <v>362</v>
      </c>
      <c r="C108" s="353" t="s">
        <v>365</v>
      </c>
      <c r="D108" s="355" t="s">
        <v>359</v>
      </c>
      <c r="E108" s="459">
        <f>SUM('PK PNS'!E106:E107)</f>
        <v>7040</v>
      </c>
      <c r="F108" s="423">
        <f t="shared" ref="F108" si="247">SUM(499535*80%)</f>
        <v>399628</v>
      </c>
      <c r="G108" s="457">
        <v>0</v>
      </c>
      <c r="H108" s="453">
        <f>SUM(F108:G109)</f>
        <v>399628</v>
      </c>
      <c r="I108" s="423">
        <f t="shared" ref="I108" si="248">SUM(H108*1%)</f>
        <v>3996.28</v>
      </c>
      <c r="J108" s="423">
        <f t="shared" ref="J108" si="249">SUM(H108-I108)</f>
        <v>395631.72</v>
      </c>
      <c r="K108" s="423">
        <f t="shared" ref="K108" si="250">SUM(J108*60%)</f>
        <v>237379.03199999998</v>
      </c>
      <c r="L108" s="425">
        <f>SUM('PK PNS'!I106:I107)</f>
        <v>1</v>
      </c>
      <c r="M108" s="423">
        <f t="shared" si="165"/>
        <v>237379.03199999998</v>
      </c>
      <c r="N108" s="423">
        <f t="shared" ref="N108" si="251">SUM(J108*40%)</f>
        <v>158252.68799999999</v>
      </c>
      <c r="O108" s="423">
        <f>SUM(N108*Tabel_Perhitungan!AB108)</f>
        <v>0</v>
      </c>
      <c r="P108" s="423">
        <f t="shared" ref="P108" si="252">SUM(N108-O108)</f>
        <v>158252.68799999999</v>
      </c>
      <c r="Q108" s="423">
        <f t="shared" si="168"/>
        <v>395631.72</v>
      </c>
      <c r="R108" s="425">
        <v>0.05</v>
      </c>
      <c r="S108" s="423">
        <f t="shared" si="169"/>
        <v>19781.585999999999</v>
      </c>
      <c r="T108" s="423">
        <f t="shared" si="170"/>
        <v>375850.13399999996</v>
      </c>
      <c r="U108" s="82">
        <v>49</v>
      </c>
      <c r="V108" s="48"/>
      <c r="W108" s="29"/>
    </row>
    <row r="109" spans="1:23" ht="15" customHeight="1" x14ac:dyDescent="0.25">
      <c r="A109" s="101"/>
      <c r="B109" s="191" t="s">
        <v>433</v>
      </c>
      <c r="C109" s="354"/>
      <c r="D109" s="356"/>
      <c r="E109" s="460"/>
      <c r="F109" s="424"/>
      <c r="G109" s="458"/>
      <c r="H109" s="454"/>
      <c r="I109" s="424"/>
      <c r="J109" s="424"/>
      <c r="K109" s="424"/>
      <c r="L109" s="426"/>
      <c r="M109" s="424"/>
      <c r="N109" s="424"/>
      <c r="O109" s="424"/>
      <c r="P109" s="424"/>
      <c r="Q109" s="424"/>
      <c r="R109" s="426"/>
      <c r="S109" s="424"/>
      <c r="T109" s="424"/>
      <c r="U109" s="83"/>
      <c r="V109" s="48"/>
      <c r="W109" s="29"/>
    </row>
    <row r="110" spans="1:23" ht="15" customHeight="1" x14ac:dyDescent="0.25">
      <c r="A110" s="134">
        <v>50</v>
      </c>
      <c r="B110" s="199" t="s">
        <v>366</v>
      </c>
      <c r="C110" s="353" t="s">
        <v>365</v>
      </c>
      <c r="D110" s="355" t="s">
        <v>359</v>
      </c>
      <c r="E110" s="459">
        <f>SUM('PK PNS'!E108:E109)</f>
        <v>6940</v>
      </c>
      <c r="F110" s="423">
        <f t="shared" ref="F110" si="253">SUM(499535*80%)</f>
        <v>399628</v>
      </c>
      <c r="G110" s="463">
        <v>0</v>
      </c>
      <c r="H110" s="453">
        <f>SUM(F110:G111)</f>
        <v>399628</v>
      </c>
      <c r="I110" s="423">
        <f t="shared" ref="I110" si="254">SUM(H110*1%)</f>
        <v>3996.28</v>
      </c>
      <c r="J110" s="423">
        <f t="shared" ref="J110" si="255">SUM(H110-I110)</f>
        <v>395631.72</v>
      </c>
      <c r="K110" s="423">
        <f t="shared" ref="K110" si="256">SUM(J110*60%)</f>
        <v>237379.03199999998</v>
      </c>
      <c r="L110" s="425">
        <f>SUM('PK PNS'!I108:I109)</f>
        <v>1</v>
      </c>
      <c r="M110" s="423">
        <f t="shared" si="165"/>
        <v>237379.03199999998</v>
      </c>
      <c r="N110" s="423">
        <f t="shared" ref="N110" si="257">SUM(J110*40%)</f>
        <v>158252.68799999999</v>
      </c>
      <c r="O110" s="423">
        <f>SUM(N110*Tabel_Perhitungan!AB110)</f>
        <v>0</v>
      </c>
      <c r="P110" s="423">
        <f t="shared" ref="P110" si="258">SUM(N110-O110)</f>
        <v>158252.68799999999</v>
      </c>
      <c r="Q110" s="423">
        <f t="shared" si="168"/>
        <v>395631.72</v>
      </c>
      <c r="R110" s="425">
        <v>0.05</v>
      </c>
      <c r="S110" s="423">
        <f t="shared" si="169"/>
        <v>19781.585999999999</v>
      </c>
      <c r="T110" s="423">
        <f t="shared" si="170"/>
        <v>375850.13399999996</v>
      </c>
      <c r="U110" s="82">
        <v>50</v>
      </c>
      <c r="V110" s="48"/>
      <c r="W110" s="29"/>
    </row>
    <row r="111" spans="1:23" ht="15" customHeight="1" x14ac:dyDescent="0.25">
      <c r="A111" s="101"/>
      <c r="B111" s="200" t="s">
        <v>434</v>
      </c>
      <c r="C111" s="354"/>
      <c r="D111" s="356"/>
      <c r="E111" s="460"/>
      <c r="F111" s="424"/>
      <c r="G111" s="464"/>
      <c r="H111" s="454"/>
      <c r="I111" s="424"/>
      <c r="J111" s="424"/>
      <c r="K111" s="424"/>
      <c r="L111" s="426"/>
      <c r="M111" s="424"/>
      <c r="N111" s="424"/>
      <c r="O111" s="424"/>
      <c r="P111" s="424"/>
      <c r="Q111" s="424"/>
      <c r="R111" s="426"/>
      <c r="S111" s="424"/>
      <c r="T111" s="424"/>
      <c r="U111" s="83"/>
      <c r="V111" s="48"/>
      <c r="W111" s="29"/>
    </row>
    <row r="112" spans="1:23" ht="15" customHeight="1" x14ac:dyDescent="0.25">
      <c r="A112" s="134">
        <v>41</v>
      </c>
      <c r="B112" s="190" t="s">
        <v>367</v>
      </c>
      <c r="C112" s="353" t="s">
        <v>365</v>
      </c>
      <c r="D112" s="355" t="s">
        <v>359</v>
      </c>
      <c r="E112" s="459">
        <f>SUM('PK PNS'!E110:E111)</f>
        <v>7760</v>
      </c>
      <c r="F112" s="423">
        <f t="shared" ref="F112" si="259">SUM(499535*80%)</f>
        <v>399628</v>
      </c>
      <c r="G112" s="457">
        <v>0</v>
      </c>
      <c r="H112" s="453">
        <f>SUM(F112:G113)</f>
        <v>399628</v>
      </c>
      <c r="I112" s="423">
        <f t="shared" ref="I112" si="260">SUM(H112*1%)</f>
        <v>3996.28</v>
      </c>
      <c r="J112" s="423">
        <f t="shared" ref="J112" si="261">SUM(H112-I112)</f>
        <v>395631.72</v>
      </c>
      <c r="K112" s="423">
        <f t="shared" ref="K112" si="262">SUM(J112*60%)</f>
        <v>237379.03199999998</v>
      </c>
      <c r="L112" s="425">
        <f>SUM('PK PNS'!I110:I111)</f>
        <v>1</v>
      </c>
      <c r="M112" s="423">
        <f t="shared" si="165"/>
        <v>237379.03199999998</v>
      </c>
      <c r="N112" s="423">
        <f t="shared" ref="N112" si="263">SUM(J112*40%)</f>
        <v>158252.68799999999</v>
      </c>
      <c r="O112" s="423">
        <f>SUM(N112*Tabel_Perhitungan!AB112)</f>
        <v>0</v>
      </c>
      <c r="P112" s="423">
        <f t="shared" ref="P112" si="264">SUM(N112-O112)</f>
        <v>158252.68799999999</v>
      </c>
      <c r="Q112" s="423">
        <f t="shared" si="168"/>
        <v>395631.72</v>
      </c>
      <c r="R112" s="425">
        <v>0.05</v>
      </c>
      <c r="S112" s="423">
        <f t="shared" si="169"/>
        <v>19781.585999999999</v>
      </c>
      <c r="T112" s="423">
        <f t="shared" si="170"/>
        <v>375850.13399999996</v>
      </c>
      <c r="U112" s="82">
        <v>51</v>
      </c>
      <c r="V112" s="48"/>
      <c r="W112" s="145"/>
    </row>
    <row r="113" spans="1:32" ht="15" customHeight="1" x14ac:dyDescent="0.25">
      <c r="A113" s="101"/>
      <c r="B113" s="191" t="s">
        <v>435</v>
      </c>
      <c r="C113" s="354"/>
      <c r="D113" s="356"/>
      <c r="E113" s="460"/>
      <c r="F113" s="424"/>
      <c r="G113" s="458"/>
      <c r="H113" s="454"/>
      <c r="I113" s="424"/>
      <c r="J113" s="424"/>
      <c r="K113" s="424"/>
      <c r="L113" s="426"/>
      <c r="M113" s="424"/>
      <c r="N113" s="424"/>
      <c r="O113" s="424"/>
      <c r="P113" s="424"/>
      <c r="Q113" s="424"/>
      <c r="R113" s="426"/>
      <c r="S113" s="424"/>
      <c r="T113" s="424"/>
      <c r="U113" s="83"/>
      <c r="V113" s="48"/>
    </row>
    <row r="114" spans="1:32" ht="15" customHeight="1" x14ac:dyDescent="0.25">
      <c r="A114" s="134">
        <v>52</v>
      </c>
      <c r="B114" s="190" t="s">
        <v>368</v>
      </c>
      <c r="C114" s="353" t="s">
        <v>365</v>
      </c>
      <c r="D114" s="355" t="s">
        <v>359</v>
      </c>
      <c r="E114" s="459">
        <f>SUM('PK PNS'!E112:E113)</f>
        <v>7660</v>
      </c>
      <c r="F114" s="423">
        <f t="shared" ref="F114" si="265">SUM(499535*80%)</f>
        <v>399628</v>
      </c>
      <c r="G114" s="463">
        <v>0</v>
      </c>
      <c r="H114" s="453">
        <f>SUM(F114:G115)</f>
        <v>399628</v>
      </c>
      <c r="I114" s="423">
        <f t="shared" ref="I114" si="266">SUM(H114*1%)</f>
        <v>3996.28</v>
      </c>
      <c r="J114" s="423">
        <f t="shared" ref="J114" si="267">SUM(H114-I114)</f>
        <v>395631.72</v>
      </c>
      <c r="K114" s="423">
        <f t="shared" ref="K114" si="268">SUM(J114*60%)</f>
        <v>237379.03199999998</v>
      </c>
      <c r="L114" s="425">
        <f>SUM('PK PNS'!I112:I113)</f>
        <v>1</v>
      </c>
      <c r="M114" s="423">
        <f t="shared" si="165"/>
        <v>237379.03199999998</v>
      </c>
      <c r="N114" s="423">
        <f t="shared" ref="N114" si="269">SUM(J114*40%)</f>
        <v>158252.68799999999</v>
      </c>
      <c r="O114" s="423">
        <f>SUM(N114*Tabel_Perhitungan!AB114)</f>
        <v>0</v>
      </c>
      <c r="P114" s="423">
        <f t="shared" ref="P114" si="270">SUM(N114-O114)</f>
        <v>158252.68799999999</v>
      </c>
      <c r="Q114" s="423">
        <f t="shared" si="168"/>
        <v>395631.72</v>
      </c>
      <c r="R114" s="425">
        <v>0.05</v>
      </c>
      <c r="S114" s="423">
        <f t="shared" si="169"/>
        <v>19781.585999999999</v>
      </c>
      <c r="T114" s="423">
        <f t="shared" si="170"/>
        <v>375850.13399999996</v>
      </c>
      <c r="U114" s="82">
        <v>52</v>
      </c>
      <c r="V114" s="48"/>
      <c r="W114" s="29"/>
    </row>
    <row r="115" spans="1:32" ht="15" customHeight="1" x14ac:dyDescent="0.25">
      <c r="A115" s="101"/>
      <c r="B115" s="191" t="s">
        <v>436</v>
      </c>
      <c r="C115" s="354"/>
      <c r="D115" s="356"/>
      <c r="E115" s="460"/>
      <c r="F115" s="424"/>
      <c r="G115" s="464"/>
      <c r="H115" s="454"/>
      <c r="I115" s="424"/>
      <c r="J115" s="424"/>
      <c r="K115" s="424"/>
      <c r="L115" s="426"/>
      <c r="M115" s="424"/>
      <c r="N115" s="424"/>
      <c r="O115" s="424"/>
      <c r="P115" s="424"/>
      <c r="Q115" s="424"/>
      <c r="R115" s="426"/>
      <c r="S115" s="424"/>
      <c r="T115" s="424"/>
      <c r="U115" s="83"/>
      <c r="V115" s="48"/>
      <c r="W115" s="29"/>
    </row>
    <row r="116" spans="1:32" ht="15" customHeight="1" x14ac:dyDescent="0.25">
      <c r="A116" s="282">
        <v>53</v>
      </c>
      <c r="B116" s="190" t="s">
        <v>369</v>
      </c>
      <c r="C116" s="353" t="s">
        <v>365</v>
      </c>
      <c r="D116" s="355" t="s">
        <v>359</v>
      </c>
      <c r="E116" s="459">
        <f>SUM('PK PNS'!E114:E115)</f>
        <v>7364</v>
      </c>
      <c r="F116" s="423">
        <f t="shared" ref="F116" si="271">SUM(499535*80%)</f>
        <v>399628</v>
      </c>
      <c r="G116" s="457">
        <v>0</v>
      </c>
      <c r="H116" s="453">
        <f>SUM(F116:G117)</f>
        <v>399628</v>
      </c>
      <c r="I116" s="423">
        <f t="shared" ref="I116" si="272">SUM(H116*1%)</f>
        <v>3996.28</v>
      </c>
      <c r="J116" s="423">
        <f t="shared" ref="J116" si="273">SUM(H116-I116)</f>
        <v>395631.72</v>
      </c>
      <c r="K116" s="423">
        <f t="shared" ref="K116" si="274">SUM(J116*60%)</f>
        <v>237379.03199999998</v>
      </c>
      <c r="L116" s="425">
        <f>SUM('PK PNS'!I114:I115)</f>
        <v>1</v>
      </c>
      <c r="M116" s="423">
        <f t="shared" si="165"/>
        <v>237379.03199999998</v>
      </c>
      <c r="N116" s="423">
        <f t="shared" ref="N116" si="275">SUM(J116*40%)</f>
        <v>158252.68799999999</v>
      </c>
      <c r="O116" s="423">
        <f>SUM(N116*Tabel_Perhitungan!AB116)</f>
        <v>2373.7903199999996</v>
      </c>
      <c r="P116" s="423">
        <f t="shared" ref="P116" si="276">SUM(N116-O116)</f>
        <v>155878.89767999999</v>
      </c>
      <c r="Q116" s="423">
        <f t="shared" si="168"/>
        <v>393257.92967999994</v>
      </c>
      <c r="R116" s="425">
        <v>0.05</v>
      </c>
      <c r="S116" s="423">
        <f t="shared" si="169"/>
        <v>19662.896483999997</v>
      </c>
      <c r="T116" s="423">
        <f t="shared" si="170"/>
        <v>373595.03319599992</v>
      </c>
      <c r="U116" s="245">
        <v>53</v>
      </c>
      <c r="V116" s="48"/>
      <c r="W116" s="29"/>
    </row>
    <row r="117" spans="1:32" ht="15" customHeight="1" x14ac:dyDescent="0.25">
      <c r="A117" s="193"/>
      <c r="B117" s="191" t="s">
        <v>437</v>
      </c>
      <c r="C117" s="354"/>
      <c r="D117" s="356"/>
      <c r="E117" s="460"/>
      <c r="F117" s="424"/>
      <c r="G117" s="458"/>
      <c r="H117" s="454"/>
      <c r="I117" s="424"/>
      <c r="J117" s="424"/>
      <c r="K117" s="424"/>
      <c r="L117" s="426"/>
      <c r="M117" s="424"/>
      <c r="N117" s="424"/>
      <c r="O117" s="424"/>
      <c r="P117" s="424"/>
      <c r="Q117" s="424"/>
      <c r="R117" s="426"/>
      <c r="S117" s="424"/>
      <c r="T117" s="424"/>
      <c r="U117" s="246"/>
      <c r="V117" s="48"/>
      <c r="W117" s="29"/>
    </row>
    <row r="118" spans="1:32" ht="19.5" customHeight="1" x14ac:dyDescent="0.25">
      <c r="A118" s="282">
        <v>54</v>
      </c>
      <c r="B118" s="190" t="s">
        <v>360</v>
      </c>
      <c r="C118" s="353" t="s">
        <v>365</v>
      </c>
      <c r="D118" s="351" t="s">
        <v>361</v>
      </c>
      <c r="E118" s="459">
        <f>SUM('PK PNS'!E116:E117)</f>
        <v>6870</v>
      </c>
      <c r="F118" s="423">
        <f t="shared" ref="F118" si="277">SUM(499535*80%)</f>
        <v>399628</v>
      </c>
      <c r="G118" s="463">
        <v>0</v>
      </c>
      <c r="H118" s="453">
        <f>SUM(F118:G119)</f>
        <v>399628</v>
      </c>
      <c r="I118" s="423">
        <f t="shared" ref="I118" si="278">SUM(H118*1%)</f>
        <v>3996.28</v>
      </c>
      <c r="J118" s="423">
        <f t="shared" ref="J118" si="279">SUM(H118-I118)</f>
        <v>395631.72</v>
      </c>
      <c r="K118" s="423">
        <f t="shared" ref="K118" si="280">SUM(J118*60%)</f>
        <v>237379.03199999998</v>
      </c>
      <c r="L118" s="425">
        <f>SUM('PK PNS'!I116:I117)</f>
        <v>1</v>
      </c>
      <c r="M118" s="423">
        <f t="shared" si="165"/>
        <v>237379.03199999998</v>
      </c>
      <c r="N118" s="423">
        <f t="shared" ref="N118" si="281">SUM(J118*40%)</f>
        <v>158252.68799999999</v>
      </c>
      <c r="O118" s="423">
        <f>SUM(N118*Tabel_Perhitungan!AB118)</f>
        <v>0</v>
      </c>
      <c r="P118" s="423">
        <f t="shared" ref="P118" si="282">SUM(N118-O118)</f>
        <v>158252.68799999999</v>
      </c>
      <c r="Q118" s="423">
        <f t="shared" si="168"/>
        <v>395631.72</v>
      </c>
      <c r="R118" s="425">
        <v>0.05</v>
      </c>
      <c r="S118" s="423">
        <f t="shared" si="169"/>
        <v>19781.585999999999</v>
      </c>
      <c r="T118" s="423">
        <f t="shared" si="170"/>
        <v>375850.13399999996</v>
      </c>
      <c r="U118" s="308">
        <v>54</v>
      </c>
      <c r="V118" s="48"/>
    </row>
    <row r="119" spans="1:32" ht="19.5" customHeight="1" x14ac:dyDescent="0.25">
      <c r="A119" s="193"/>
      <c r="B119" s="191" t="s">
        <v>438</v>
      </c>
      <c r="C119" s="354"/>
      <c r="D119" s="352"/>
      <c r="E119" s="460"/>
      <c r="F119" s="424"/>
      <c r="G119" s="464"/>
      <c r="H119" s="454"/>
      <c r="I119" s="424"/>
      <c r="J119" s="424"/>
      <c r="K119" s="424"/>
      <c r="L119" s="426"/>
      <c r="M119" s="424"/>
      <c r="N119" s="424"/>
      <c r="O119" s="424"/>
      <c r="P119" s="424"/>
      <c r="Q119" s="424"/>
      <c r="R119" s="426"/>
      <c r="S119" s="424"/>
      <c r="T119" s="424"/>
      <c r="U119" s="193"/>
      <c r="V119" s="48"/>
    </row>
    <row r="120" spans="1:32" ht="19.5" customHeight="1" x14ac:dyDescent="0.25">
      <c r="A120" s="310"/>
      <c r="B120" s="433" t="s">
        <v>8</v>
      </c>
      <c r="C120" s="434"/>
      <c r="D120" s="465"/>
      <c r="E120" s="292"/>
      <c r="F120" s="195">
        <f t="shared" ref="F120:K120" si="283">SUM(F12:F119)</f>
        <v>28681098</v>
      </c>
      <c r="G120" s="195">
        <f t="shared" si="283"/>
        <v>453089</v>
      </c>
      <c r="H120" s="195">
        <f t="shared" si="283"/>
        <v>29134187</v>
      </c>
      <c r="I120" s="196">
        <f t="shared" si="283"/>
        <v>291341.87000000029</v>
      </c>
      <c r="J120" s="196">
        <f t="shared" si="283"/>
        <v>28842845.129999973</v>
      </c>
      <c r="K120" s="195">
        <f t="shared" si="283"/>
        <v>17305707.077999994</v>
      </c>
      <c r="L120" s="197"/>
      <c r="M120" s="195">
        <f>SUM(M12:M119)</f>
        <v>17305707.077999994</v>
      </c>
      <c r="N120" s="195">
        <f>SUM(N12:N119)</f>
        <v>11537138.051999988</v>
      </c>
      <c r="O120" s="195">
        <f>SUM(O12:O119)</f>
        <v>246762.23913000006</v>
      </c>
      <c r="P120" s="196">
        <f>SUM(P12:P119)</f>
        <v>11290375.812869992</v>
      </c>
      <c r="Q120" s="196">
        <f>SUM(Q12:Q119)</f>
        <v>28596082.890869983</v>
      </c>
      <c r="R120" s="435">
        <f>SUM(S12:S119)</f>
        <v>2262375.1060515009</v>
      </c>
      <c r="S120" s="436"/>
      <c r="T120" s="195">
        <f>SUM(T12:T119)</f>
        <v>26333707.784818485</v>
      </c>
      <c r="U120" s="310"/>
      <c r="V120" s="48"/>
    </row>
    <row r="121" spans="1:32" ht="19.5" customHeight="1" x14ac:dyDescent="0.25">
      <c r="C121" s="5"/>
      <c r="D121" s="4"/>
      <c r="F121" s="53"/>
      <c r="G121" s="48"/>
      <c r="H121" s="48"/>
      <c r="I121" s="48"/>
      <c r="J121" s="48"/>
      <c r="K121" s="4"/>
      <c r="L121" s="4"/>
      <c r="M121" s="4"/>
      <c r="N121" s="4"/>
      <c r="O121" s="4"/>
      <c r="P121" s="4"/>
      <c r="Q121" s="335"/>
      <c r="R121" s="4"/>
      <c r="S121" s="4"/>
      <c r="T121" s="72"/>
      <c r="U121" s="22"/>
      <c r="V121" s="48"/>
      <c r="AB121" s="8" t="s">
        <v>525</v>
      </c>
      <c r="AC121" s="29" t="s">
        <v>334</v>
      </c>
      <c r="AD121" s="8" t="s">
        <v>459</v>
      </c>
      <c r="AE121" s="8" t="s">
        <v>460</v>
      </c>
    </row>
    <row r="122" spans="1:32" ht="16.5" customHeight="1" x14ac:dyDescent="0.25">
      <c r="F122" s="48"/>
      <c r="H122" s="48"/>
      <c r="I122" s="171"/>
      <c r="J122" s="251"/>
      <c r="K122" s="71"/>
      <c r="O122" s="79"/>
      <c r="Q122" s="68"/>
      <c r="T122" s="29"/>
      <c r="U122" s="23"/>
      <c r="V122" s="48"/>
      <c r="AA122" s="8" t="s">
        <v>528</v>
      </c>
      <c r="AB122" s="29">
        <f>SUM('[2]TPP REKAP BK&amp;KK'!$Q$120)</f>
        <v>27307022.431391977</v>
      </c>
      <c r="AC122" s="29">
        <f>SUM('[2]TPP REKAP BK&amp;KK'!$I$120)</f>
        <v>277408.94200000016</v>
      </c>
      <c r="AD122" s="29">
        <f>SUM(AB122:AC122)</f>
        <v>27584431.373391978</v>
      </c>
      <c r="AE122" s="29">
        <f>SUM('[2]TPP REKAP BK&amp;KK'!$R$120:$S$120)</f>
        <v>2060443.1258927986</v>
      </c>
      <c r="AF122" s="29">
        <f>SUM(AD122-AC122-AE122)</f>
        <v>25246579.305499177</v>
      </c>
    </row>
    <row r="123" spans="1:32" ht="16.5" customHeight="1" x14ac:dyDescent="0.25">
      <c r="C123" s="8"/>
      <c r="F123" s="186"/>
      <c r="G123" s="48"/>
      <c r="H123" s="186"/>
      <c r="I123" s="8"/>
      <c r="J123" s="186"/>
      <c r="P123" s="15"/>
      <c r="Q123" s="146" t="s">
        <v>532</v>
      </c>
      <c r="R123" s="146"/>
      <c r="S123" s="146"/>
      <c r="T123" s="146"/>
      <c r="U123" s="146"/>
      <c r="V123" s="251"/>
      <c r="AD123" s="29"/>
      <c r="AF123" s="29"/>
    </row>
    <row r="124" spans="1:32" ht="16.5" customHeight="1" x14ac:dyDescent="0.25">
      <c r="C124" s="8"/>
      <c r="F124" s="186"/>
      <c r="G124" s="186"/>
      <c r="H124" s="186"/>
      <c r="I124" s="8"/>
      <c r="J124" s="186"/>
      <c r="P124" s="15"/>
      <c r="Q124" s="146"/>
      <c r="R124" s="146"/>
      <c r="S124" s="15"/>
      <c r="T124" s="146"/>
      <c r="U124" s="15"/>
      <c r="V124" s="251"/>
      <c r="AA124" s="8" t="s">
        <v>529</v>
      </c>
      <c r="AB124" s="29">
        <f>SUM('[3]TPP REKAP BK&amp;KK'!$Q$120)</f>
        <v>27246773.917439979</v>
      </c>
      <c r="AC124" s="29">
        <f>SUM('[3]TPP REKAP BK&amp;KK'!$I$120)</f>
        <v>277408.94200000016</v>
      </c>
      <c r="AD124" s="29">
        <f t="shared" ref="AD124:AD128" si="284">SUM(AB124:AC124)</f>
        <v>27524182.85943998</v>
      </c>
      <c r="AE124" s="29">
        <f>SUM('[3]TPP REKAP BK&amp;KK'!$R$120:$S$120)</f>
        <v>2058055.830467999</v>
      </c>
      <c r="AF124" s="29">
        <f>SUM(AD124-AC124-AE124)</f>
        <v>25188718.08697198</v>
      </c>
    </row>
    <row r="125" spans="1:32" ht="15.75" customHeight="1" x14ac:dyDescent="0.25">
      <c r="C125" s="8"/>
      <c r="F125" s="186"/>
      <c r="G125" s="186"/>
      <c r="H125" s="186"/>
      <c r="I125" s="188"/>
      <c r="J125" s="186"/>
      <c r="P125" s="21"/>
      <c r="Q125" s="100" t="s">
        <v>440</v>
      </c>
      <c r="R125" s="100"/>
      <c r="S125" s="21"/>
      <c r="T125" s="146"/>
      <c r="U125" s="15"/>
      <c r="V125" s="23"/>
      <c r="AD125" s="29"/>
      <c r="AF125" s="29"/>
    </row>
    <row r="126" spans="1:32" ht="18" customHeight="1" x14ac:dyDescent="0.25">
      <c r="C126" s="8"/>
      <c r="F126" s="186"/>
      <c r="G126" s="186"/>
      <c r="H126" s="186"/>
      <c r="I126" s="188"/>
      <c r="J126" s="186"/>
      <c r="P126" s="15"/>
      <c r="Q126" s="100" t="s">
        <v>441</v>
      </c>
      <c r="R126" s="100"/>
      <c r="S126" s="15"/>
      <c r="T126" s="146"/>
      <c r="U126" s="15"/>
      <c r="V126" s="29"/>
      <c r="AA126" s="8" t="s">
        <v>530</v>
      </c>
      <c r="AB126" s="29">
        <f>SUM('[1]TPP REKAP BK&amp;KK'!$Q$120)</f>
        <v>28137617.198459983</v>
      </c>
      <c r="AC126" s="29">
        <f>SUM('[1]TPP REKAP BK&amp;KK'!$I$120)</f>
        <v>291341.87000000029</v>
      </c>
      <c r="AD126" s="29">
        <f t="shared" si="284"/>
        <v>28428959.068459984</v>
      </c>
      <c r="AE126" s="29">
        <f>SUM('[1]TPP REKAP BK&amp;KK'!$R$120:$S$120)</f>
        <v>2231873.2102590003</v>
      </c>
      <c r="AF126" s="29">
        <f>SUM(AD126-AC126-AE126)</f>
        <v>25905743.988200981</v>
      </c>
    </row>
    <row r="127" spans="1:32" ht="15" customHeight="1" x14ac:dyDescent="0.25">
      <c r="C127" s="8"/>
      <c r="F127" s="186"/>
      <c r="G127" s="186"/>
      <c r="H127" s="186"/>
      <c r="I127" s="188"/>
      <c r="J127" s="186"/>
      <c r="P127" s="15"/>
      <c r="Q127" s="100"/>
      <c r="R127" s="100"/>
      <c r="S127" s="15"/>
      <c r="T127" s="140"/>
      <c r="U127" s="15"/>
      <c r="V127" s="29"/>
      <c r="AD127" s="29"/>
      <c r="AF127" s="29"/>
    </row>
    <row r="128" spans="1:32" ht="15.75" customHeight="1" x14ac:dyDescent="0.25">
      <c r="C128" s="8"/>
      <c r="F128" s="186"/>
      <c r="G128" s="186"/>
      <c r="H128" s="186"/>
      <c r="I128" s="188"/>
      <c r="J128" s="186"/>
      <c r="P128" s="15"/>
      <c r="Q128" s="100"/>
      <c r="R128" s="100"/>
      <c r="S128" s="15"/>
      <c r="T128" s="140"/>
      <c r="U128" s="15"/>
      <c r="V128" s="146"/>
      <c r="AA128" s="8" t="s">
        <v>531</v>
      </c>
      <c r="AB128" s="29">
        <f>SUM(Q120)</f>
        <v>28596082.890869983</v>
      </c>
      <c r="AC128" s="29">
        <f>SUM(I120)</f>
        <v>291341.87000000029</v>
      </c>
      <c r="AD128" s="29">
        <f t="shared" si="284"/>
        <v>28887424.760869984</v>
      </c>
      <c r="AE128" s="29">
        <f>SUM(R120)</f>
        <v>2262375.1060515009</v>
      </c>
      <c r="AF128" s="29">
        <f>SUM(AD128-AC128-AE128)</f>
        <v>26333707.784818482</v>
      </c>
    </row>
    <row r="129" spans="2:32" ht="15.75" customHeight="1" x14ac:dyDescent="0.25">
      <c r="C129" s="8"/>
      <c r="F129" s="186"/>
      <c r="G129" s="186"/>
      <c r="H129" s="186"/>
      <c r="I129" s="188"/>
      <c r="J129" s="188"/>
      <c r="P129" s="15"/>
      <c r="Q129" s="100"/>
      <c r="R129" s="100"/>
      <c r="S129" s="15"/>
      <c r="T129" s="140"/>
      <c r="U129" s="15"/>
      <c r="AD129" s="29"/>
      <c r="AF129" s="29"/>
    </row>
    <row r="130" spans="2:32" ht="15.75" customHeight="1" x14ac:dyDescent="0.25">
      <c r="C130" s="8"/>
      <c r="F130" s="186"/>
      <c r="G130" s="186"/>
      <c r="H130" s="186"/>
      <c r="I130" s="188"/>
      <c r="J130" s="188"/>
      <c r="P130" s="15"/>
      <c r="Q130" s="336" t="s">
        <v>465</v>
      </c>
      <c r="R130" s="336"/>
      <c r="S130" s="336"/>
      <c r="T130" s="336"/>
      <c r="U130" s="336"/>
      <c r="AA130" s="8" t="s">
        <v>8</v>
      </c>
      <c r="AB130" s="29">
        <f>SUM(AB122:AB129)</f>
        <v>111287496.43816191</v>
      </c>
      <c r="AC130" s="29">
        <f>SUM(AC122:AC129)</f>
        <v>1137501.624000001</v>
      </c>
      <c r="AD130" s="29">
        <f>SUM(AD122:AD129)</f>
        <v>112424998.06216192</v>
      </c>
      <c r="AE130" s="29">
        <f>SUM(AE122:AE129)</f>
        <v>8612747.2726712991</v>
      </c>
      <c r="AF130" s="29">
        <f>SUM(AF122:AF129)</f>
        <v>102674749.16549063</v>
      </c>
    </row>
    <row r="131" spans="2:32" ht="16.5" customHeight="1" x14ac:dyDescent="0.25">
      <c r="C131" s="8"/>
      <c r="F131" s="186"/>
      <c r="G131" s="186"/>
      <c r="H131" s="186"/>
      <c r="I131" s="188"/>
      <c r="J131" s="188"/>
      <c r="K131" s="188"/>
      <c r="P131" s="15"/>
      <c r="Q131" s="100" t="s">
        <v>93</v>
      </c>
      <c r="R131" s="100" t="s">
        <v>338</v>
      </c>
      <c r="S131" s="15"/>
      <c r="T131" s="146"/>
      <c r="U131" s="15"/>
    </row>
    <row r="132" spans="2:32" ht="15.75" customHeight="1" x14ac:dyDescent="0.25">
      <c r="C132" s="8"/>
      <c r="D132" s="188"/>
      <c r="E132" s="188"/>
      <c r="F132" s="188"/>
      <c r="G132" s="188"/>
      <c r="H132" s="188"/>
      <c r="I132" s="188"/>
      <c r="J132" s="188"/>
      <c r="K132" s="188"/>
      <c r="P132" s="15"/>
      <c r="Q132" s="100" t="s">
        <v>94</v>
      </c>
      <c r="R132" s="100" t="s">
        <v>442</v>
      </c>
      <c r="S132" s="15"/>
      <c r="T132" s="146"/>
      <c r="U132" s="15"/>
    </row>
    <row r="133" spans="2:32" ht="15.75" customHeight="1" x14ac:dyDescent="0.25">
      <c r="C133" s="8"/>
      <c r="F133" s="186"/>
      <c r="G133" s="186"/>
      <c r="H133" s="186"/>
      <c r="I133" s="8"/>
      <c r="J133" s="186"/>
      <c r="K133" s="188"/>
      <c r="T133" s="8" t="s">
        <v>533</v>
      </c>
    </row>
    <row r="134" spans="2:32" ht="15.75" customHeight="1" x14ac:dyDescent="0.25">
      <c r="B134" s="186"/>
      <c r="C134" s="187"/>
      <c r="F134" s="186"/>
      <c r="G134" s="186"/>
      <c r="H134" s="186"/>
      <c r="I134" s="8"/>
      <c r="J134" s="186"/>
      <c r="K134" s="188"/>
    </row>
    <row r="135" spans="2:32" ht="15.75" customHeight="1" x14ac:dyDescent="0.25">
      <c r="C135" s="8"/>
      <c r="F135" s="186"/>
      <c r="G135" s="186"/>
      <c r="H135" s="186"/>
      <c r="I135" s="188"/>
      <c r="J135" s="188"/>
      <c r="K135" s="188"/>
    </row>
    <row r="136" spans="2:32" ht="15.75" customHeight="1" x14ac:dyDescent="0.25">
      <c r="C136" s="8"/>
      <c r="F136" s="186"/>
      <c r="G136" s="186"/>
      <c r="H136" s="186"/>
      <c r="I136" s="188"/>
      <c r="J136" s="188"/>
      <c r="K136" s="188"/>
    </row>
    <row r="137" spans="2:32" ht="18" customHeight="1" x14ac:dyDescent="0.25">
      <c r="C137" s="8"/>
      <c r="F137" s="186"/>
      <c r="G137" s="186"/>
      <c r="H137" s="186"/>
      <c r="I137" s="188"/>
      <c r="J137" s="188"/>
      <c r="K137" s="188"/>
    </row>
    <row r="138" spans="2:32" ht="16.5" customHeight="1" x14ac:dyDescent="0.25">
      <c r="C138" s="8"/>
      <c r="F138" s="186"/>
      <c r="G138" s="186"/>
      <c r="H138" s="186"/>
      <c r="I138" s="188"/>
      <c r="J138" s="188"/>
      <c r="K138" s="188"/>
    </row>
    <row r="139" spans="2:32" ht="13.5" customHeight="1" x14ac:dyDescent="0.25">
      <c r="I139" s="251"/>
      <c r="J139" s="251"/>
    </row>
    <row r="140" spans="2:32" x14ac:dyDescent="0.25">
      <c r="I140" s="251"/>
      <c r="J140" s="251"/>
    </row>
    <row r="141" spans="2:32" x14ac:dyDescent="0.25">
      <c r="I141" s="251"/>
      <c r="J141" s="251"/>
    </row>
    <row r="142" spans="2:32" x14ac:dyDescent="0.25">
      <c r="I142" s="251"/>
      <c r="J142" s="251"/>
    </row>
    <row r="143" spans="2:32" x14ac:dyDescent="0.25">
      <c r="I143" s="251"/>
      <c r="J143" s="251"/>
    </row>
    <row r="144" spans="2:32" x14ac:dyDescent="0.25">
      <c r="I144" s="251"/>
      <c r="J144" s="251"/>
    </row>
    <row r="145" spans="9:22" x14ac:dyDescent="0.25">
      <c r="I145" s="251"/>
      <c r="J145" s="251"/>
    </row>
    <row r="146" spans="9:22" x14ac:dyDescent="0.25">
      <c r="I146" s="251"/>
      <c r="J146" s="251"/>
    </row>
    <row r="147" spans="9:22" x14ac:dyDescent="0.25">
      <c r="I147" s="251"/>
      <c r="J147" s="251"/>
    </row>
    <row r="148" spans="9:22" x14ac:dyDescent="0.25">
      <c r="I148" s="251"/>
      <c r="J148" s="251"/>
    </row>
    <row r="149" spans="9:22" x14ac:dyDescent="0.25">
      <c r="I149" s="251"/>
      <c r="J149" s="251"/>
    </row>
    <row r="150" spans="9:22" x14ac:dyDescent="0.25">
      <c r="I150" s="251"/>
      <c r="J150" s="251"/>
    </row>
    <row r="151" spans="9:22" x14ac:dyDescent="0.25">
      <c r="I151" s="251"/>
      <c r="J151" s="251"/>
    </row>
    <row r="152" spans="9:22" x14ac:dyDescent="0.25">
      <c r="I152" s="251"/>
      <c r="J152" s="251"/>
    </row>
    <row r="153" spans="9:22" x14ac:dyDescent="0.25">
      <c r="I153" s="251"/>
      <c r="J153" s="251"/>
    </row>
    <row r="154" spans="9:22" x14ac:dyDescent="0.25">
      <c r="I154" s="251"/>
      <c r="J154" s="251"/>
    </row>
    <row r="155" spans="9:22" x14ac:dyDescent="0.25">
      <c r="I155" s="251"/>
      <c r="J155" s="251"/>
      <c r="V155" s="144"/>
    </row>
    <row r="156" spans="9:22" x14ac:dyDescent="0.25">
      <c r="I156" s="251"/>
      <c r="J156" s="251"/>
      <c r="V156" s="29"/>
    </row>
    <row r="157" spans="9:22" x14ac:dyDescent="0.25">
      <c r="I157" s="6"/>
      <c r="J157" s="6"/>
      <c r="V157" s="29"/>
    </row>
    <row r="158" spans="9:22" x14ac:dyDescent="0.25">
      <c r="I158" s="6"/>
      <c r="J158" s="6"/>
      <c r="V158" s="29"/>
    </row>
    <row r="159" spans="9:22" x14ac:dyDescent="0.25">
      <c r="I159" s="6"/>
      <c r="J159" s="6"/>
      <c r="V159" s="29"/>
    </row>
    <row r="160" spans="9:22" x14ac:dyDescent="0.25">
      <c r="I160" s="6"/>
      <c r="J160" s="6"/>
    </row>
    <row r="161" spans="9:22" x14ac:dyDescent="0.25">
      <c r="I161" s="6"/>
      <c r="J161" s="6"/>
    </row>
    <row r="162" spans="9:22" x14ac:dyDescent="0.25">
      <c r="I162" s="6"/>
      <c r="J162" s="6"/>
      <c r="V162" s="29"/>
    </row>
    <row r="163" spans="9:22" x14ac:dyDescent="0.25">
      <c r="I163" s="6"/>
      <c r="J163" s="6"/>
    </row>
    <row r="164" spans="9:22" x14ac:dyDescent="0.25">
      <c r="I164" s="6"/>
      <c r="J164" s="6"/>
    </row>
    <row r="165" spans="9:22" x14ac:dyDescent="0.25">
      <c r="I165" s="6"/>
      <c r="J165" s="6"/>
      <c r="V165" s="29"/>
    </row>
    <row r="166" spans="9:22" x14ac:dyDescent="0.25">
      <c r="I166" s="6"/>
      <c r="J166" s="6"/>
      <c r="V166" s="144"/>
    </row>
    <row r="167" spans="9:22" x14ac:dyDescent="0.25">
      <c r="I167" s="6"/>
      <c r="J167" s="6"/>
      <c r="V167" s="29"/>
    </row>
    <row r="168" spans="9:22" x14ac:dyDescent="0.25">
      <c r="I168" s="6"/>
      <c r="J168" s="6"/>
      <c r="V168" s="29"/>
    </row>
    <row r="169" spans="9:22" x14ac:dyDescent="0.25">
      <c r="I169" s="6"/>
      <c r="J169" s="6"/>
      <c r="V169" s="29"/>
    </row>
    <row r="170" spans="9:22" x14ac:dyDescent="0.25">
      <c r="I170" s="6"/>
      <c r="J170" s="6"/>
      <c r="V170" s="29"/>
    </row>
    <row r="171" spans="9:22" x14ac:dyDescent="0.25">
      <c r="I171" s="6"/>
      <c r="J171" s="6"/>
    </row>
  </sheetData>
  <mergeCells count="995">
    <mergeCell ref="C116:C117"/>
    <mergeCell ref="Q116:Q117"/>
    <mergeCell ref="P116:P117"/>
    <mergeCell ref="O116:O117"/>
    <mergeCell ref="N116:N117"/>
    <mergeCell ref="M116:M117"/>
    <mergeCell ref="L116:L117"/>
    <mergeCell ref="T116:T117"/>
    <mergeCell ref="S116:S117"/>
    <mergeCell ref="R116:R117"/>
    <mergeCell ref="L118:L119"/>
    <mergeCell ref="K118:K119"/>
    <mergeCell ref="J118:J119"/>
    <mergeCell ref="I118:I119"/>
    <mergeCell ref="F118:F119"/>
    <mergeCell ref="D118:D119"/>
    <mergeCell ref="E118:E119"/>
    <mergeCell ref="G116:G117"/>
    <mergeCell ref="G118:G119"/>
    <mergeCell ref="E116:E117"/>
    <mergeCell ref="K116:K117"/>
    <mergeCell ref="J116:J117"/>
    <mergeCell ref="I116:I117"/>
    <mergeCell ref="F116:F117"/>
    <mergeCell ref="D116:D117"/>
    <mergeCell ref="C118:C119"/>
    <mergeCell ref="R118:R119"/>
    <mergeCell ref="Q118:Q119"/>
    <mergeCell ref="P118:P119"/>
    <mergeCell ref="O118:O119"/>
    <mergeCell ref="N118:N119"/>
    <mergeCell ref="M118:M119"/>
    <mergeCell ref="G30:G31"/>
    <mergeCell ref="H32:H33"/>
    <mergeCell ref="G32:G33"/>
    <mergeCell ref="H34:H35"/>
    <mergeCell ref="G34:G35"/>
    <mergeCell ref="H36:H37"/>
    <mergeCell ref="G36:G37"/>
    <mergeCell ref="Q48:Q49"/>
    <mergeCell ref="P48:P49"/>
    <mergeCell ref="O48:O49"/>
    <mergeCell ref="N48:N49"/>
    <mergeCell ref="G48:G49"/>
    <mergeCell ref="C30:C31"/>
    <mergeCell ref="D30:D31"/>
    <mergeCell ref="E30:E31"/>
    <mergeCell ref="G40:G41"/>
    <mergeCell ref="C32:C33"/>
    <mergeCell ref="P14:P15"/>
    <mergeCell ref="O14:O15"/>
    <mergeCell ref="N14:N15"/>
    <mergeCell ref="M14:M15"/>
    <mergeCell ref="L14:L15"/>
    <mergeCell ref="K14:K15"/>
    <mergeCell ref="J14:J15"/>
    <mergeCell ref="I14:I15"/>
    <mergeCell ref="H14:H15"/>
    <mergeCell ref="A2:U2"/>
    <mergeCell ref="A3:U3"/>
    <mergeCell ref="A8:A9"/>
    <mergeCell ref="B8:B9"/>
    <mergeCell ref="C8:C9"/>
    <mergeCell ref="D8:D9"/>
    <mergeCell ref="E8:E9"/>
    <mergeCell ref="I8:I9"/>
    <mergeCell ref="J8:J9"/>
    <mergeCell ref="K8:M8"/>
    <mergeCell ref="F8:G8"/>
    <mergeCell ref="N8:P8"/>
    <mergeCell ref="Q8:Q9"/>
    <mergeCell ref="R8:S9"/>
    <mergeCell ref="T8:T9"/>
    <mergeCell ref="U8:U9"/>
    <mergeCell ref="H8:H9"/>
    <mergeCell ref="R24:R25"/>
    <mergeCell ref="J20:J21"/>
    <mergeCell ref="R18:R19"/>
    <mergeCell ref="C20:C21"/>
    <mergeCell ref="D20:D21"/>
    <mergeCell ref="I20:I21"/>
    <mergeCell ref="R20:R21"/>
    <mergeCell ref="S20:S21"/>
    <mergeCell ref="T20:T21"/>
    <mergeCell ref="D22:D23"/>
    <mergeCell ref="F22:F23"/>
    <mergeCell ref="I22:I23"/>
    <mergeCell ref="J22:J23"/>
    <mergeCell ref="K22:K23"/>
    <mergeCell ref="L22:L23"/>
    <mergeCell ref="K20:K21"/>
    <mergeCell ref="L20:L21"/>
    <mergeCell ref="M20:M21"/>
    <mergeCell ref="N20:N21"/>
    <mergeCell ref="O20:O21"/>
    <mergeCell ref="P20:P21"/>
    <mergeCell ref="Q22:Q23"/>
    <mergeCell ref="P22:P23"/>
    <mergeCell ref="G22:G23"/>
    <mergeCell ref="J24:J25"/>
    <mergeCell ref="K24:K25"/>
    <mergeCell ref="Q20:Q21"/>
    <mergeCell ref="Q18:Q19"/>
    <mergeCell ref="I16:I17"/>
    <mergeCell ref="M22:M23"/>
    <mergeCell ref="N22:N23"/>
    <mergeCell ref="O22:O23"/>
    <mergeCell ref="N18:N19"/>
    <mergeCell ref="O18:O19"/>
    <mergeCell ref="P18:P19"/>
    <mergeCell ref="R10:S10"/>
    <mergeCell ref="G16:G17"/>
    <mergeCell ref="N16:N17"/>
    <mergeCell ref="M16:M17"/>
    <mergeCell ref="P16:P17"/>
    <mergeCell ref="O16:O17"/>
    <mergeCell ref="T16:T17"/>
    <mergeCell ref="K12:K13"/>
    <mergeCell ref="L12:L13"/>
    <mergeCell ref="M12:M13"/>
    <mergeCell ref="N12:N13"/>
    <mergeCell ref="O12:O13"/>
    <mergeCell ref="P12:P13"/>
    <mergeCell ref="Q16:Q17"/>
    <mergeCell ref="R16:R17"/>
    <mergeCell ref="G12:G13"/>
    <mergeCell ref="T12:T13"/>
    <mergeCell ref="S12:S13"/>
    <mergeCell ref="R12:R13"/>
    <mergeCell ref="Q12:Q13"/>
    <mergeCell ref="T14:T15"/>
    <mergeCell ref="S14:S15"/>
    <mergeCell ref="R14:R15"/>
    <mergeCell ref="Q14:Q15"/>
    <mergeCell ref="C12:C13"/>
    <mergeCell ref="D12:D13"/>
    <mergeCell ref="E12:E13"/>
    <mergeCell ref="F12:F13"/>
    <mergeCell ref="I12:I13"/>
    <mergeCell ref="J12:J13"/>
    <mergeCell ref="K18:K19"/>
    <mergeCell ref="L18:L19"/>
    <mergeCell ref="M18:M19"/>
    <mergeCell ref="C18:C19"/>
    <mergeCell ref="D18:D19"/>
    <mergeCell ref="E18:E19"/>
    <mergeCell ref="F18:F19"/>
    <mergeCell ref="I18:I19"/>
    <mergeCell ref="J18:J19"/>
    <mergeCell ref="F14:F15"/>
    <mergeCell ref="E14:E15"/>
    <mergeCell ref="D14:D15"/>
    <mergeCell ref="C14:C15"/>
    <mergeCell ref="C16:C17"/>
    <mergeCell ref="J16:J17"/>
    <mergeCell ref="H12:H13"/>
    <mergeCell ref="G14:G15"/>
    <mergeCell ref="S24:S25"/>
    <mergeCell ref="T24:T25"/>
    <mergeCell ref="C26:C27"/>
    <mergeCell ref="D26:D27"/>
    <mergeCell ref="E26:E27"/>
    <mergeCell ref="F26:F27"/>
    <mergeCell ref="I26:I27"/>
    <mergeCell ref="L24:L25"/>
    <mergeCell ref="M24:M25"/>
    <mergeCell ref="N24:N25"/>
    <mergeCell ref="O24:O25"/>
    <mergeCell ref="P24:P25"/>
    <mergeCell ref="Q24:Q25"/>
    <mergeCell ref="C24:C25"/>
    <mergeCell ref="D24:D25"/>
    <mergeCell ref="E24:E25"/>
    <mergeCell ref="F24:F25"/>
    <mergeCell ref="I24:I25"/>
    <mergeCell ref="K26:K27"/>
    <mergeCell ref="P26:P27"/>
    <mergeCell ref="Q26:Q27"/>
    <mergeCell ref="R26:R27"/>
    <mergeCell ref="S26:S27"/>
    <mergeCell ref="T26:T27"/>
    <mergeCell ref="S18:S19"/>
    <mergeCell ref="T18:T19"/>
    <mergeCell ref="K16:K17"/>
    <mergeCell ref="L16:L17"/>
    <mergeCell ref="C22:C23"/>
    <mergeCell ref="S16:S17"/>
    <mergeCell ref="D16:D17"/>
    <mergeCell ref="E16:E17"/>
    <mergeCell ref="F16:F17"/>
    <mergeCell ref="H16:H17"/>
    <mergeCell ref="H18:H19"/>
    <mergeCell ref="P28:P29"/>
    <mergeCell ref="C28:C29"/>
    <mergeCell ref="D28:D29"/>
    <mergeCell ref="E28:E29"/>
    <mergeCell ref="F28:F29"/>
    <mergeCell ref="I28:I29"/>
    <mergeCell ref="J28:J29"/>
    <mergeCell ref="K28:K29"/>
    <mergeCell ref="L28:L29"/>
    <mergeCell ref="M28:M29"/>
    <mergeCell ref="H28:H29"/>
    <mergeCell ref="S32:S33"/>
    <mergeCell ref="T28:T29"/>
    <mergeCell ref="J26:J27"/>
    <mergeCell ref="M26:M27"/>
    <mergeCell ref="N26:N27"/>
    <mergeCell ref="O26:O27"/>
    <mergeCell ref="L26:L27"/>
    <mergeCell ref="G26:G27"/>
    <mergeCell ref="G28:G29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S30:S31"/>
    <mergeCell ref="I30:I31"/>
    <mergeCell ref="J30:J31"/>
    <mergeCell ref="N28:N29"/>
    <mergeCell ref="O28:O29"/>
    <mergeCell ref="T36:T37"/>
    <mergeCell ref="G38:G39"/>
    <mergeCell ref="T38:T39"/>
    <mergeCell ref="O36:O37"/>
    <mergeCell ref="C38:C39"/>
    <mergeCell ref="D38:D39"/>
    <mergeCell ref="E38:E39"/>
    <mergeCell ref="Q28:Q29"/>
    <mergeCell ref="R28:R29"/>
    <mergeCell ref="S28:S29"/>
    <mergeCell ref="P36:P37"/>
    <mergeCell ref="T32:T33"/>
    <mergeCell ref="K30:K31"/>
    <mergeCell ref="L30:L31"/>
    <mergeCell ref="M30:M31"/>
    <mergeCell ref="T30:T31"/>
    <mergeCell ref="R34:R35"/>
    <mergeCell ref="S34:S35"/>
    <mergeCell ref="T34:T35"/>
    <mergeCell ref="N32:N33"/>
    <mergeCell ref="O32:O33"/>
    <mergeCell ref="P32:P33"/>
    <mergeCell ref="Q32:Q33"/>
    <mergeCell ref="R32:R33"/>
    <mergeCell ref="S40:S41"/>
    <mergeCell ref="K40:K41"/>
    <mergeCell ref="C34:C35"/>
    <mergeCell ref="D34:D35"/>
    <mergeCell ref="E34:E35"/>
    <mergeCell ref="F34:F35"/>
    <mergeCell ref="I34:I35"/>
    <mergeCell ref="J34:J35"/>
    <mergeCell ref="K34:K35"/>
    <mergeCell ref="O34:O35"/>
    <mergeCell ref="P34:P35"/>
    <mergeCell ref="Q34:Q35"/>
    <mergeCell ref="Q36:Q37"/>
    <mergeCell ref="R36:R37"/>
    <mergeCell ref="S36:S37"/>
    <mergeCell ref="F38:F39"/>
    <mergeCell ref="I38:I39"/>
    <mergeCell ref="J38:J39"/>
    <mergeCell ref="K38:K39"/>
    <mergeCell ref="L38:L39"/>
    <mergeCell ref="M38:M39"/>
    <mergeCell ref="N38:N39"/>
    <mergeCell ref="O38:O39"/>
    <mergeCell ref="P38:P39"/>
    <mergeCell ref="D32:D33"/>
    <mergeCell ref="C36:C37"/>
    <mergeCell ref="D36:D37"/>
    <mergeCell ref="E36:E37"/>
    <mergeCell ref="F36:F37"/>
    <mergeCell ref="I36:I37"/>
    <mergeCell ref="L34:L35"/>
    <mergeCell ref="M34:M35"/>
    <mergeCell ref="N34:N35"/>
    <mergeCell ref="J36:J37"/>
    <mergeCell ref="K36:K37"/>
    <mergeCell ref="L36:L37"/>
    <mergeCell ref="M36:M37"/>
    <mergeCell ref="N36:N37"/>
    <mergeCell ref="E32:E33"/>
    <mergeCell ref="F32:F33"/>
    <mergeCell ref="Q38:Q39"/>
    <mergeCell ref="R38:R39"/>
    <mergeCell ref="S38:S39"/>
    <mergeCell ref="C50:C51"/>
    <mergeCell ref="D50:D51"/>
    <mergeCell ref="E50:E51"/>
    <mergeCell ref="F50:F51"/>
    <mergeCell ref="I50:I51"/>
    <mergeCell ref="T42:T43"/>
    <mergeCell ref="C44:C45"/>
    <mergeCell ref="D44:D45"/>
    <mergeCell ref="E44:E45"/>
    <mergeCell ref="F44:F45"/>
    <mergeCell ref="I44:I45"/>
    <mergeCell ref="J44:J45"/>
    <mergeCell ref="K44:K45"/>
    <mergeCell ref="N42:N43"/>
    <mergeCell ref="O42:O43"/>
    <mergeCell ref="P42:P43"/>
    <mergeCell ref="Q42:Q43"/>
    <mergeCell ref="R42:R43"/>
    <mergeCell ref="C40:C41"/>
    <mergeCell ref="N40:N41"/>
    <mergeCell ref="O40:O41"/>
    <mergeCell ref="D40:D41"/>
    <mergeCell ref="E40:E41"/>
    <mergeCell ref="F40:F41"/>
    <mergeCell ref="T50:T51"/>
    <mergeCell ref="J46:J47"/>
    <mergeCell ref="K46:K47"/>
    <mergeCell ref="L42:L43"/>
    <mergeCell ref="M42:M43"/>
    <mergeCell ref="L46:L47"/>
    <mergeCell ref="M46:M47"/>
    <mergeCell ref="N46:N47"/>
    <mergeCell ref="O46:O47"/>
    <mergeCell ref="R44:R45"/>
    <mergeCell ref="S44:S45"/>
    <mergeCell ref="T44:T45"/>
    <mergeCell ref="T46:T47"/>
    <mergeCell ref="T48:T49"/>
    <mergeCell ref="S42:S43"/>
    <mergeCell ref="L40:L41"/>
    <mergeCell ref="M40:M41"/>
    <mergeCell ref="J40:J41"/>
    <mergeCell ref="O44:O45"/>
    <mergeCell ref="T40:T41"/>
    <mergeCell ref="R40:R41"/>
    <mergeCell ref="G42:G43"/>
    <mergeCell ref="G44:G45"/>
    <mergeCell ref="G46:G47"/>
    <mergeCell ref="R48:R49"/>
    <mergeCell ref="S48:S49"/>
    <mergeCell ref="C48:C49"/>
    <mergeCell ref="D48:D49"/>
    <mergeCell ref="E48:E49"/>
    <mergeCell ref="F48:F49"/>
    <mergeCell ref="I48:I49"/>
    <mergeCell ref="J48:J49"/>
    <mergeCell ref="K48:K49"/>
    <mergeCell ref="L48:L49"/>
    <mergeCell ref="M48:M49"/>
    <mergeCell ref="P46:P47"/>
    <mergeCell ref="Q46:Q47"/>
    <mergeCell ref="R46:R47"/>
    <mergeCell ref="S46:S47"/>
    <mergeCell ref="C42:C43"/>
    <mergeCell ref="D42:D43"/>
    <mergeCell ref="E42:E43"/>
    <mergeCell ref="F42:F43"/>
    <mergeCell ref="I42:I43"/>
    <mergeCell ref="J42:J43"/>
    <mergeCell ref="K42:K43"/>
    <mergeCell ref="I40:I41"/>
    <mergeCell ref="N50:N51"/>
    <mergeCell ref="O50:O51"/>
    <mergeCell ref="P50:P51"/>
    <mergeCell ref="Q50:Q51"/>
    <mergeCell ref="R50:R51"/>
    <mergeCell ref="L44:L45"/>
    <mergeCell ref="M44:M45"/>
    <mergeCell ref="N44:N45"/>
    <mergeCell ref="P44:P45"/>
    <mergeCell ref="Q44:Q45"/>
    <mergeCell ref="P40:P41"/>
    <mergeCell ref="Q40:Q41"/>
    <mergeCell ref="S50:S51"/>
    <mergeCell ref="J50:J51"/>
    <mergeCell ref="K50:K51"/>
    <mergeCell ref="L50:L51"/>
    <mergeCell ref="M50:M51"/>
    <mergeCell ref="C46:C47"/>
    <mergeCell ref="D46:D47"/>
    <mergeCell ref="E46:E47"/>
    <mergeCell ref="F46:F47"/>
    <mergeCell ref="I46:I47"/>
    <mergeCell ref="T52:T53"/>
    <mergeCell ref="C54:C55"/>
    <mergeCell ref="D54:D55"/>
    <mergeCell ref="E54:E55"/>
    <mergeCell ref="F54:F55"/>
    <mergeCell ref="I54:I55"/>
    <mergeCell ref="J54:J55"/>
    <mergeCell ref="K54:K55"/>
    <mergeCell ref="N52:N53"/>
    <mergeCell ref="O52:O53"/>
    <mergeCell ref="P52:P53"/>
    <mergeCell ref="Q52:Q53"/>
    <mergeCell ref="R52:R53"/>
    <mergeCell ref="S52:S53"/>
    <mergeCell ref="C52:C53"/>
    <mergeCell ref="D52:D53"/>
    <mergeCell ref="E52:E53"/>
    <mergeCell ref="F52:F53"/>
    <mergeCell ref="I52:I53"/>
    <mergeCell ref="J52:J53"/>
    <mergeCell ref="K52:K53"/>
    <mergeCell ref="L52:L53"/>
    <mergeCell ref="M52:M53"/>
    <mergeCell ref="R54:R55"/>
    <mergeCell ref="S54:S55"/>
    <mergeCell ref="T54:T55"/>
    <mergeCell ref="C56:C57"/>
    <mergeCell ref="D56:D57"/>
    <mergeCell ref="E56:E57"/>
    <mergeCell ref="F56:F57"/>
    <mergeCell ref="I56:I57"/>
    <mergeCell ref="L54:L55"/>
    <mergeCell ref="M54:M55"/>
    <mergeCell ref="N54:N55"/>
    <mergeCell ref="O54:O55"/>
    <mergeCell ref="P54:P55"/>
    <mergeCell ref="Q54:Q55"/>
    <mergeCell ref="T56:T57"/>
    <mergeCell ref="S56:S57"/>
    <mergeCell ref="R56:R57"/>
    <mergeCell ref="Q56:Q57"/>
    <mergeCell ref="P56:P57"/>
    <mergeCell ref="C60:C61"/>
    <mergeCell ref="D60:D61"/>
    <mergeCell ref="E60:E61"/>
    <mergeCell ref="F60:F61"/>
    <mergeCell ref="I60:I61"/>
    <mergeCell ref="C58:C59"/>
    <mergeCell ref="D58:D59"/>
    <mergeCell ref="E58:E59"/>
    <mergeCell ref="F58:F59"/>
    <mergeCell ref="I58:I59"/>
    <mergeCell ref="T58:T59"/>
    <mergeCell ref="T60:T61"/>
    <mergeCell ref="J56:J57"/>
    <mergeCell ref="K56:K57"/>
    <mergeCell ref="L56:L57"/>
    <mergeCell ref="M56:M57"/>
    <mergeCell ref="N56:N57"/>
    <mergeCell ref="O56:O57"/>
    <mergeCell ref="N60:N61"/>
    <mergeCell ref="O60:O61"/>
    <mergeCell ref="P60:P61"/>
    <mergeCell ref="Q60:Q61"/>
    <mergeCell ref="R60:R61"/>
    <mergeCell ref="S60:S61"/>
    <mergeCell ref="J60:J61"/>
    <mergeCell ref="K60:K61"/>
    <mergeCell ref="L60:L61"/>
    <mergeCell ref="M60:M61"/>
    <mergeCell ref="N58:N59"/>
    <mergeCell ref="O58:O59"/>
    <mergeCell ref="P58:P59"/>
    <mergeCell ref="Q58:Q59"/>
    <mergeCell ref="R58:R59"/>
    <mergeCell ref="S58:S59"/>
    <mergeCell ref="J58:J59"/>
    <mergeCell ref="K58:K59"/>
    <mergeCell ref="L58:L59"/>
    <mergeCell ref="M58:M59"/>
    <mergeCell ref="M62:M63"/>
    <mergeCell ref="H66:H67"/>
    <mergeCell ref="G62:G63"/>
    <mergeCell ref="G64:G65"/>
    <mergeCell ref="G66:G67"/>
    <mergeCell ref="J62:J63"/>
    <mergeCell ref="K62:K63"/>
    <mergeCell ref="L62:L63"/>
    <mergeCell ref="H62:H63"/>
    <mergeCell ref="C70:C71"/>
    <mergeCell ref="D70:D71"/>
    <mergeCell ref="E70:E71"/>
    <mergeCell ref="F70:F71"/>
    <mergeCell ref="I70:I71"/>
    <mergeCell ref="T62:T63"/>
    <mergeCell ref="C64:C65"/>
    <mergeCell ref="D64:D65"/>
    <mergeCell ref="E64:E65"/>
    <mergeCell ref="F64:F65"/>
    <mergeCell ref="I64:I65"/>
    <mergeCell ref="J64:J65"/>
    <mergeCell ref="K64:K65"/>
    <mergeCell ref="N62:N63"/>
    <mergeCell ref="O62:O63"/>
    <mergeCell ref="P62:P63"/>
    <mergeCell ref="Q62:Q63"/>
    <mergeCell ref="R62:R63"/>
    <mergeCell ref="S62:S63"/>
    <mergeCell ref="C62:C63"/>
    <mergeCell ref="D62:D63"/>
    <mergeCell ref="E62:E63"/>
    <mergeCell ref="F62:F63"/>
    <mergeCell ref="I62:I63"/>
    <mergeCell ref="T68:T69"/>
    <mergeCell ref="T70:T71"/>
    <mergeCell ref="J66:J67"/>
    <mergeCell ref="K66:K67"/>
    <mergeCell ref="L66:L67"/>
    <mergeCell ref="M66:M67"/>
    <mergeCell ref="N66:N67"/>
    <mergeCell ref="O66:O67"/>
    <mergeCell ref="N70:N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68:N69"/>
    <mergeCell ref="O68:O69"/>
    <mergeCell ref="P68:P69"/>
    <mergeCell ref="Q68:Q69"/>
    <mergeCell ref="R68:R69"/>
    <mergeCell ref="S68:S69"/>
    <mergeCell ref="T64:T65"/>
    <mergeCell ref="C66:C67"/>
    <mergeCell ref="D66:D67"/>
    <mergeCell ref="E66:E67"/>
    <mergeCell ref="F66:F67"/>
    <mergeCell ref="I66:I67"/>
    <mergeCell ref="L64:L65"/>
    <mergeCell ref="M64:M65"/>
    <mergeCell ref="N64:N65"/>
    <mergeCell ref="O64:O65"/>
    <mergeCell ref="P64:P65"/>
    <mergeCell ref="Q64:Q65"/>
    <mergeCell ref="H64:H65"/>
    <mergeCell ref="T66:T67"/>
    <mergeCell ref="Q66:Q67"/>
    <mergeCell ref="R66:R67"/>
    <mergeCell ref="S66:S67"/>
    <mergeCell ref="R64:R65"/>
    <mergeCell ref="S64:S65"/>
    <mergeCell ref="P66:P67"/>
    <mergeCell ref="C68:C69"/>
    <mergeCell ref="D68:D69"/>
    <mergeCell ref="E68:E69"/>
    <mergeCell ref="F68:F69"/>
    <mergeCell ref="I68:I69"/>
    <mergeCell ref="J68:J69"/>
    <mergeCell ref="K68:K69"/>
    <mergeCell ref="L68:L69"/>
    <mergeCell ref="M68:M69"/>
    <mergeCell ref="G68:G69"/>
    <mergeCell ref="H68:H69"/>
    <mergeCell ref="T72:T73"/>
    <mergeCell ref="C74:C75"/>
    <mergeCell ref="D74:D75"/>
    <mergeCell ref="E74:E75"/>
    <mergeCell ref="F74:F75"/>
    <mergeCell ref="I74:I75"/>
    <mergeCell ref="J74:J75"/>
    <mergeCell ref="K74:K75"/>
    <mergeCell ref="N72:N73"/>
    <mergeCell ref="O72:O73"/>
    <mergeCell ref="P72:P73"/>
    <mergeCell ref="Q72:Q73"/>
    <mergeCell ref="R72:R73"/>
    <mergeCell ref="S72:S73"/>
    <mergeCell ref="C72:C73"/>
    <mergeCell ref="D72:D73"/>
    <mergeCell ref="E72:E73"/>
    <mergeCell ref="F72:F73"/>
    <mergeCell ref="I72:I73"/>
    <mergeCell ref="J72:J73"/>
    <mergeCell ref="K72:K73"/>
    <mergeCell ref="L72:L73"/>
    <mergeCell ref="M72:M73"/>
    <mergeCell ref="R74:R75"/>
    <mergeCell ref="S74:S75"/>
    <mergeCell ref="T74:T75"/>
    <mergeCell ref="C76:C77"/>
    <mergeCell ref="D76:D77"/>
    <mergeCell ref="E76:E77"/>
    <mergeCell ref="F76:F77"/>
    <mergeCell ref="I76:I77"/>
    <mergeCell ref="L74:L75"/>
    <mergeCell ref="M74:M75"/>
    <mergeCell ref="N74:N75"/>
    <mergeCell ref="O74:O75"/>
    <mergeCell ref="P74:P75"/>
    <mergeCell ref="Q74:Q75"/>
    <mergeCell ref="G74:G75"/>
    <mergeCell ref="G76:G77"/>
    <mergeCell ref="C80:C81"/>
    <mergeCell ref="D80:D81"/>
    <mergeCell ref="E80:E81"/>
    <mergeCell ref="F80:F81"/>
    <mergeCell ref="I80:I81"/>
    <mergeCell ref="C78:C79"/>
    <mergeCell ref="D78:D79"/>
    <mergeCell ref="E78:E79"/>
    <mergeCell ref="F78:F79"/>
    <mergeCell ref="I78:I79"/>
    <mergeCell ref="G78:G79"/>
    <mergeCell ref="G80:G81"/>
    <mergeCell ref="H78:H79"/>
    <mergeCell ref="H80:H81"/>
    <mergeCell ref="K78:K79"/>
    <mergeCell ref="L78:L79"/>
    <mergeCell ref="M78:M79"/>
    <mergeCell ref="P76:P77"/>
    <mergeCell ref="Q76:Q77"/>
    <mergeCell ref="R76:R77"/>
    <mergeCell ref="S76:S77"/>
    <mergeCell ref="T76:T77"/>
    <mergeCell ref="T78:T79"/>
    <mergeCell ref="T80:T81"/>
    <mergeCell ref="J76:J77"/>
    <mergeCell ref="K76:K77"/>
    <mergeCell ref="L76:L77"/>
    <mergeCell ref="M76:M77"/>
    <mergeCell ref="N76:N77"/>
    <mergeCell ref="O76:O77"/>
    <mergeCell ref="N80:N81"/>
    <mergeCell ref="O80:O81"/>
    <mergeCell ref="P80:P81"/>
    <mergeCell ref="Q80:Q81"/>
    <mergeCell ref="R80:R81"/>
    <mergeCell ref="S80:S81"/>
    <mergeCell ref="J80:J81"/>
    <mergeCell ref="K80:K81"/>
    <mergeCell ref="L80:L81"/>
    <mergeCell ref="M80:M81"/>
    <mergeCell ref="N78:N79"/>
    <mergeCell ref="O78:O79"/>
    <mergeCell ref="P78:P79"/>
    <mergeCell ref="Q78:Q79"/>
    <mergeCell ref="R78:R79"/>
    <mergeCell ref="S78:S79"/>
    <mergeCell ref="J78:J79"/>
    <mergeCell ref="M82:M83"/>
    <mergeCell ref="H82:H83"/>
    <mergeCell ref="H84:H85"/>
    <mergeCell ref="G82:G83"/>
    <mergeCell ref="G84:G85"/>
    <mergeCell ref="C90:C91"/>
    <mergeCell ref="D90:D91"/>
    <mergeCell ref="E90:E91"/>
    <mergeCell ref="F90:F91"/>
    <mergeCell ref="I90:I91"/>
    <mergeCell ref="C88:C89"/>
    <mergeCell ref="D88:D89"/>
    <mergeCell ref="E88:E89"/>
    <mergeCell ref="F88:F89"/>
    <mergeCell ref="I88:I89"/>
    <mergeCell ref="J88:J89"/>
    <mergeCell ref="K88:K89"/>
    <mergeCell ref="L88:L89"/>
    <mergeCell ref="M88:M89"/>
    <mergeCell ref="T82:T83"/>
    <mergeCell ref="C84:C85"/>
    <mergeCell ref="D84:D85"/>
    <mergeCell ref="E84:E85"/>
    <mergeCell ref="F84:F85"/>
    <mergeCell ref="I84:I85"/>
    <mergeCell ref="J84:J85"/>
    <mergeCell ref="K84:K85"/>
    <mergeCell ref="N82:N83"/>
    <mergeCell ref="O82:O83"/>
    <mergeCell ref="P82:P83"/>
    <mergeCell ref="Q82:Q83"/>
    <mergeCell ref="R82:R83"/>
    <mergeCell ref="S82:S83"/>
    <mergeCell ref="C82:C83"/>
    <mergeCell ref="D82:D83"/>
    <mergeCell ref="E82:E83"/>
    <mergeCell ref="F82:F83"/>
    <mergeCell ref="I82:I83"/>
    <mergeCell ref="J82:J83"/>
    <mergeCell ref="K82:K83"/>
    <mergeCell ref="L82:L83"/>
    <mergeCell ref="R84:R85"/>
    <mergeCell ref="S84:S85"/>
    <mergeCell ref="T88:T89"/>
    <mergeCell ref="T90:T91"/>
    <mergeCell ref="J86:J87"/>
    <mergeCell ref="K86:K87"/>
    <mergeCell ref="L86:L87"/>
    <mergeCell ref="M86:M87"/>
    <mergeCell ref="N86:N87"/>
    <mergeCell ref="O86:O87"/>
    <mergeCell ref="N90:N91"/>
    <mergeCell ref="O90:O91"/>
    <mergeCell ref="P90:P91"/>
    <mergeCell ref="Q90:Q91"/>
    <mergeCell ref="R90:R91"/>
    <mergeCell ref="S90:S91"/>
    <mergeCell ref="J90:J91"/>
    <mergeCell ref="K90:K91"/>
    <mergeCell ref="L90:L91"/>
    <mergeCell ref="M90:M91"/>
    <mergeCell ref="N88:N89"/>
    <mergeCell ref="O88:O89"/>
    <mergeCell ref="P88:P89"/>
    <mergeCell ref="Q88:Q89"/>
    <mergeCell ref="R88:R89"/>
    <mergeCell ref="S88:S89"/>
    <mergeCell ref="T84:T85"/>
    <mergeCell ref="C86:C87"/>
    <mergeCell ref="D86:D87"/>
    <mergeCell ref="E86:E87"/>
    <mergeCell ref="F86:F87"/>
    <mergeCell ref="I86:I87"/>
    <mergeCell ref="L84:L85"/>
    <mergeCell ref="M84:M85"/>
    <mergeCell ref="N84:N85"/>
    <mergeCell ref="O84:O85"/>
    <mergeCell ref="P84:P85"/>
    <mergeCell ref="Q84:Q85"/>
    <mergeCell ref="P86:P87"/>
    <mergeCell ref="Q86:Q87"/>
    <mergeCell ref="R86:R87"/>
    <mergeCell ref="S86:S87"/>
    <mergeCell ref="T86:T87"/>
    <mergeCell ref="T92:T93"/>
    <mergeCell ref="C94:C95"/>
    <mergeCell ref="D94:D95"/>
    <mergeCell ref="F94:F95"/>
    <mergeCell ref="I94:I95"/>
    <mergeCell ref="J94:J95"/>
    <mergeCell ref="K94:K95"/>
    <mergeCell ref="L94:L95"/>
    <mergeCell ref="N92:N93"/>
    <mergeCell ref="O92:O93"/>
    <mergeCell ref="P92:P93"/>
    <mergeCell ref="Q92:Q93"/>
    <mergeCell ref="R92:R93"/>
    <mergeCell ref="S92:S93"/>
    <mergeCell ref="C92:C93"/>
    <mergeCell ref="D92:D93"/>
    <mergeCell ref="E92:E93"/>
    <mergeCell ref="F92:F93"/>
    <mergeCell ref="I92:I93"/>
    <mergeCell ref="J92:J93"/>
    <mergeCell ref="K92:K93"/>
    <mergeCell ref="L92:L93"/>
    <mergeCell ref="M92:M93"/>
    <mergeCell ref="S94:S95"/>
    <mergeCell ref="T94:T95"/>
    <mergeCell ref="C96:C97"/>
    <mergeCell ref="D96:D97"/>
    <mergeCell ref="F96:F97"/>
    <mergeCell ref="I96:I97"/>
    <mergeCell ref="J96:J97"/>
    <mergeCell ref="K96:K97"/>
    <mergeCell ref="M94:M95"/>
    <mergeCell ref="N94:N95"/>
    <mergeCell ref="O94:O95"/>
    <mergeCell ref="P94:P95"/>
    <mergeCell ref="Q94:Q95"/>
    <mergeCell ref="R94:R95"/>
    <mergeCell ref="R96:R97"/>
    <mergeCell ref="S96:S97"/>
    <mergeCell ref="T96:T97"/>
    <mergeCell ref="R98:R99"/>
    <mergeCell ref="S98:S99"/>
    <mergeCell ref="T98:T99"/>
    <mergeCell ref="C100:C101"/>
    <mergeCell ref="D100:D101"/>
    <mergeCell ref="F100:F101"/>
    <mergeCell ref="I100:I101"/>
    <mergeCell ref="J100:J101"/>
    <mergeCell ref="K100:K101"/>
    <mergeCell ref="K98:K99"/>
    <mergeCell ref="L98:L99"/>
    <mergeCell ref="M98:M99"/>
    <mergeCell ref="N98:N99"/>
    <mergeCell ref="O98:O99"/>
    <mergeCell ref="P98:P99"/>
    <mergeCell ref="L100:L101"/>
    <mergeCell ref="M100:M101"/>
    <mergeCell ref="N100:N101"/>
    <mergeCell ref="O100:O101"/>
    <mergeCell ref="P100:P101"/>
    <mergeCell ref="Q100:Q101"/>
    <mergeCell ref="G100:G101"/>
    <mergeCell ref="E98:E99"/>
    <mergeCell ref="T102:T103"/>
    <mergeCell ref="E96:E97"/>
    <mergeCell ref="G96:G97"/>
    <mergeCell ref="G98:G99"/>
    <mergeCell ref="C98:C99"/>
    <mergeCell ref="D98:D99"/>
    <mergeCell ref="F98:F99"/>
    <mergeCell ref="I98:I99"/>
    <mergeCell ref="J98:J99"/>
    <mergeCell ref="L96:L97"/>
    <mergeCell ref="M96:M97"/>
    <mergeCell ref="N96:N97"/>
    <mergeCell ref="O96:O97"/>
    <mergeCell ref="P96:P97"/>
    <mergeCell ref="Q96:Q97"/>
    <mergeCell ref="R102:R103"/>
    <mergeCell ref="R100:R101"/>
    <mergeCell ref="S100:S101"/>
    <mergeCell ref="T100:T101"/>
    <mergeCell ref="C102:C103"/>
    <mergeCell ref="D102:D103"/>
    <mergeCell ref="F102:F103"/>
    <mergeCell ref="I102:I103"/>
    <mergeCell ref="Q98:Q99"/>
    <mergeCell ref="M102:M103"/>
    <mergeCell ref="N102:N103"/>
    <mergeCell ref="O102:O103"/>
    <mergeCell ref="P102:P103"/>
    <mergeCell ref="Q102:Q103"/>
    <mergeCell ref="J102:J103"/>
    <mergeCell ref="K102:K103"/>
    <mergeCell ref="L102:L103"/>
    <mergeCell ref="S102:S103"/>
    <mergeCell ref="I108:I109"/>
    <mergeCell ref="J108:J109"/>
    <mergeCell ref="K108:K109"/>
    <mergeCell ref="O106:O107"/>
    <mergeCell ref="I104:I105"/>
    <mergeCell ref="J104:J105"/>
    <mergeCell ref="K104:K105"/>
    <mergeCell ref="L104:L105"/>
    <mergeCell ref="M104:M105"/>
    <mergeCell ref="P106:P107"/>
    <mergeCell ref="Q106:Q107"/>
    <mergeCell ref="R106:R107"/>
    <mergeCell ref="S106:S107"/>
    <mergeCell ref="T106:T107"/>
    <mergeCell ref="T104:T105"/>
    <mergeCell ref="C106:C107"/>
    <mergeCell ref="D106:D107"/>
    <mergeCell ref="F106:F107"/>
    <mergeCell ref="I106:I107"/>
    <mergeCell ref="J106:J107"/>
    <mergeCell ref="K106:K107"/>
    <mergeCell ref="L106:L107"/>
    <mergeCell ref="M106:M107"/>
    <mergeCell ref="N106:N107"/>
    <mergeCell ref="N104:N105"/>
    <mergeCell ref="O104:O105"/>
    <mergeCell ref="P104:P105"/>
    <mergeCell ref="Q104:Q105"/>
    <mergeCell ref="R104:R105"/>
    <mergeCell ref="S104:S105"/>
    <mergeCell ref="C104:C105"/>
    <mergeCell ref="D104:D105"/>
    <mergeCell ref="F104:F105"/>
    <mergeCell ref="J112:J113"/>
    <mergeCell ref="K112:K113"/>
    <mergeCell ref="L112:L113"/>
    <mergeCell ref="M112:M113"/>
    <mergeCell ref="M110:M111"/>
    <mergeCell ref="N110:N111"/>
    <mergeCell ref="O110:O111"/>
    <mergeCell ref="P110:P111"/>
    <mergeCell ref="Q110:Q111"/>
    <mergeCell ref="R108:R109"/>
    <mergeCell ref="S108:S109"/>
    <mergeCell ref="T108:T109"/>
    <mergeCell ref="C110:C111"/>
    <mergeCell ref="D110:D111"/>
    <mergeCell ref="F110:F111"/>
    <mergeCell ref="I110:I111"/>
    <mergeCell ref="J110:J111"/>
    <mergeCell ref="K110:K111"/>
    <mergeCell ref="L110:L111"/>
    <mergeCell ref="L108:L109"/>
    <mergeCell ref="M108:M109"/>
    <mergeCell ref="N108:N109"/>
    <mergeCell ref="O108:O109"/>
    <mergeCell ref="P108:P109"/>
    <mergeCell ref="Q108:Q109"/>
    <mergeCell ref="G110:G111"/>
    <mergeCell ref="E110:E111"/>
    <mergeCell ref="S110:S111"/>
    <mergeCell ref="T110:T111"/>
    <mergeCell ref="R110:R111"/>
    <mergeCell ref="C108:C109"/>
    <mergeCell ref="D108:D109"/>
    <mergeCell ref="F108:F109"/>
    <mergeCell ref="T112:T113"/>
    <mergeCell ref="C114:C115"/>
    <mergeCell ref="D114:D115"/>
    <mergeCell ref="F114:F115"/>
    <mergeCell ref="I114:I115"/>
    <mergeCell ref="J114:J115"/>
    <mergeCell ref="K114:K115"/>
    <mergeCell ref="L114:L115"/>
    <mergeCell ref="M114:M115"/>
    <mergeCell ref="N114:N115"/>
    <mergeCell ref="N112:N113"/>
    <mergeCell ref="O112:O113"/>
    <mergeCell ref="P112:P113"/>
    <mergeCell ref="Q112:Q113"/>
    <mergeCell ref="R112:R113"/>
    <mergeCell ref="S112:S113"/>
    <mergeCell ref="E112:E113"/>
    <mergeCell ref="E114:E115"/>
    <mergeCell ref="G114:G115"/>
    <mergeCell ref="G112:G113"/>
    <mergeCell ref="C112:C113"/>
    <mergeCell ref="D112:D113"/>
    <mergeCell ref="F112:F113"/>
    <mergeCell ref="I112:I113"/>
    <mergeCell ref="H30:H31"/>
    <mergeCell ref="G18:G19"/>
    <mergeCell ref="G20:G21"/>
    <mergeCell ref="G24:G25"/>
    <mergeCell ref="B120:D120"/>
    <mergeCell ref="R120:S120"/>
    <mergeCell ref="G72:G73"/>
    <mergeCell ref="G50:G51"/>
    <mergeCell ref="G52:G53"/>
    <mergeCell ref="F30:F31"/>
    <mergeCell ref="E20:E21"/>
    <mergeCell ref="F20:F21"/>
    <mergeCell ref="E22:E23"/>
    <mergeCell ref="G54:G55"/>
    <mergeCell ref="G56:G57"/>
    <mergeCell ref="G58:G59"/>
    <mergeCell ref="G60:G61"/>
    <mergeCell ref="H20:H21"/>
    <mergeCell ref="H24:H25"/>
    <mergeCell ref="H50:H51"/>
    <mergeCell ref="H52:H53"/>
    <mergeCell ref="E100:E101"/>
    <mergeCell ref="E102:E103"/>
    <mergeCell ref="E104:E105"/>
    <mergeCell ref="E106:E107"/>
    <mergeCell ref="E108:E109"/>
    <mergeCell ref="G86:G87"/>
    <mergeCell ref="G88:G89"/>
    <mergeCell ref="G90:G91"/>
    <mergeCell ref="G92:G93"/>
    <mergeCell ref="G106:G107"/>
    <mergeCell ref="G108:G109"/>
    <mergeCell ref="E94:E95"/>
    <mergeCell ref="G94:G95"/>
    <mergeCell ref="G102:G103"/>
    <mergeCell ref="G104:G105"/>
    <mergeCell ref="G70:G71"/>
    <mergeCell ref="R22:R23"/>
    <mergeCell ref="S22:S23"/>
    <mergeCell ref="T22:T23"/>
    <mergeCell ref="H110:H111"/>
    <mergeCell ref="H112:H113"/>
    <mergeCell ref="H114:H115"/>
    <mergeCell ref="H116:H117"/>
    <mergeCell ref="H118:H119"/>
    <mergeCell ref="H22:H23"/>
    <mergeCell ref="H98:H99"/>
    <mergeCell ref="H100:H101"/>
    <mergeCell ref="H102:H103"/>
    <mergeCell ref="H104:H105"/>
    <mergeCell ref="H106:H107"/>
    <mergeCell ref="H108:H109"/>
    <mergeCell ref="H86:H87"/>
    <mergeCell ref="H88:H89"/>
    <mergeCell ref="H90:H91"/>
    <mergeCell ref="H92:H93"/>
    <mergeCell ref="H94:H95"/>
    <mergeCell ref="H96:H97"/>
    <mergeCell ref="H74:H75"/>
    <mergeCell ref="H76:H77"/>
    <mergeCell ref="H70:H71"/>
    <mergeCell ref="H72:H73"/>
    <mergeCell ref="S118:S119"/>
    <mergeCell ref="T118:T119"/>
    <mergeCell ref="O114:O115"/>
    <mergeCell ref="P114:P115"/>
    <mergeCell ref="Q130:U130"/>
    <mergeCell ref="W5:W6"/>
    <mergeCell ref="W69:W70"/>
    <mergeCell ref="H44:H45"/>
    <mergeCell ref="H46:H47"/>
    <mergeCell ref="H48:H49"/>
    <mergeCell ref="H26:H27"/>
    <mergeCell ref="H54:H55"/>
    <mergeCell ref="H56:H57"/>
    <mergeCell ref="H58:H59"/>
    <mergeCell ref="H60:H61"/>
    <mergeCell ref="H38:H39"/>
    <mergeCell ref="H40:H41"/>
    <mergeCell ref="H42:H43"/>
    <mergeCell ref="Q114:Q115"/>
    <mergeCell ref="R114:R115"/>
    <mergeCell ref="S114:S115"/>
    <mergeCell ref="T114:T115"/>
  </mergeCells>
  <pageMargins left="0.27" right="0.15748031496062992" top="0.39" bottom="0.43307086614173229" header="0.4" footer="0.39370078740157483"/>
  <pageSetup paperSize="10002" scale="65" orientation="landscape" horizontalDpi="4294967293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G20" sqref="G20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10"/>
  <sheetViews>
    <sheetView zoomScale="85" zoomScaleNormal="85" workbookViewId="0">
      <selection activeCell="C25" sqref="C25:C26"/>
    </sheetView>
  </sheetViews>
  <sheetFormatPr defaultRowHeight="15" x14ac:dyDescent="0.25"/>
  <cols>
    <col min="1" max="1" width="3.85546875" style="8" customWidth="1"/>
    <col min="2" max="2" width="19" style="8" customWidth="1"/>
    <col min="3" max="3" width="40" style="8" customWidth="1"/>
    <col min="4" max="4" width="14.42578125" style="8" customWidth="1"/>
    <col min="5" max="5" width="14.7109375" style="8" customWidth="1"/>
    <col min="6" max="6" width="12.5703125" style="2" customWidth="1"/>
    <col min="7" max="7" width="18" style="8" customWidth="1"/>
    <col min="8" max="8" width="15" style="8" customWidth="1"/>
    <col min="9" max="16384" width="9.140625" style="8"/>
  </cols>
  <sheetData>
    <row r="2" spans="1:7" x14ac:dyDescent="0.25">
      <c r="A2" s="359" t="s">
        <v>97</v>
      </c>
      <c r="B2" s="359"/>
      <c r="C2" s="359"/>
      <c r="D2" s="359"/>
      <c r="E2" s="359"/>
      <c r="F2" s="359"/>
    </row>
    <row r="3" spans="1:7" x14ac:dyDescent="0.25">
      <c r="A3" s="359" t="s">
        <v>315</v>
      </c>
      <c r="B3" s="359"/>
      <c r="C3" s="359"/>
      <c r="D3" s="359"/>
      <c r="E3" s="359"/>
      <c r="F3" s="359"/>
    </row>
    <row r="4" spans="1:7" x14ac:dyDescent="0.25">
      <c r="A4" s="11"/>
      <c r="B4" s="11"/>
      <c r="C4" s="11"/>
      <c r="D4" s="11"/>
      <c r="E4" s="11"/>
      <c r="F4" s="12"/>
    </row>
    <row r="5" spans="1:7" x14ac:dyDescent="0.25">
      <c r="A5" s="11"/>
      <c r="B5" s="11"/>
      <c r="C5" s="11"/>
      <c r="D5" s="11"/>
      <c r="E5" s="11"/>
      <c r="F5" s="12"/>
    </row>
    <row r="6" spans="1:7" ht="48" customHeight="1" x14ac:dyDescent="0.25">
      <c r="A6" s="339" t="s">
        <v>1</v>
      </c>
      <c r="B6" s="339" t="s">
        <v>3</v>
      </c>
      <c r="C6" s="339" t="s">
        <v>2</v>
      </c>
      <c r="D6" s="339" t="s">
        <v>98</v>
      </c>
      <c r="E6" s="479" t="s">
        <v>99</v>
      </c>
      <c r="F6" s="375" t="s">
        <v>339</v>
      </c>
    </row>
    <row r="7" spans="1:7" ht="11.25" customHeight="1" x14ac:dyDescent="0.25">
      <c r="A7" s="340"/>
      <c r="B7" s="340"/>
      <c r="C7" s="340"/>
      <c r="D7" s="340"/>
      <c r="E7" s="480"/>
      <c r="F7" s="377"/>
    </row>
    <row r="8" spans="1:7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</row>
    <row r="9" spans="1:7" ht="15" customHeight="1" x14ac:dyDescent="0.25">
      <c r="A9" s="349">
        <v>1</v>
      </c>
      <c r="B9" s="490" t="s">
        <v>237</v>
      </c>
      <c r="C9" s="496" t="s">
        <v>236</v>
      </c>
      <c r="D9" s="477" t="s">
        <v>321</v>
      </c>
      <c r="E9" s="477" t="s">
        <v>323</v>
      </c>
      <c r="F9" s="470">
        <f>SUM('[4]TPP BK'!Q11)</f>
        <v>293176.07550000004</v>
      </c>
      <c r="G9" s="148"/>
    </row>
    <row r="10" spans="1:7" ht="15" customHeight="1" x14ac:dyDescent="0.25">
      <c r="A10" s="350"/>
      <c r="B10" s="491"/>
      <c r="C10" s="497"/>
      <c r="D10" s="478"/>
      <c r="E10" s="478"/>
      <c r="F10" s="471"/>
      <c r="G10" s="148"/>
    </row>
    <row r="11" spans="1:7" ht="15" customHeight="1" x14ac:dyDescent="0.25">
      <c r="A11" s="349">
        <v>2</v>
      </c>
      <c r="B11" s="477" t="s">
        <v>40</v>
      </c>
      <c r="C11" s="498" t="s">
        <v>31</v>
      </c>
      <c r="D11" s="500" t="s">
        <v>100</v>
      </c>
      <c r="E11" s="500" t="s">
        <v>190</v>
      </c>
      <c r="F11" s="470">
        <f>SUM('[4]TPP BK'!Q13)</f>
        <v>943949.79251100007</v>
      </c>
      <c r="G11" s="148"/>
    </row>
    <row r="12" spans="1:7" ht="15" customHeight="1" x14ac:dyDescent="0.25">
      <c r="A12" s="350"/>
      <c r="B12" s="478"/>
      <c r="C12" s="499"/>
      <c r="D12" s="501"/>
      <c r="E12" s="501"/>
      <c r="F12" s="471"/>
      <c r="G12" s="148"/>
    </row>
    <row r="13" spans="1:7" ht="15" customHeight="1" x14ac:dyDescent="0.25">
      <c r="A13" s="349">
        <v>3</v>
      </c>
      <c r="B13" s="490" t="s">
        <v>295</v>
      </c>
      <c r="C13" s="496" t="s">
        <v>243</v>
      </c>
      <c r="D13" s="500" t="s">
        <v>320</v>
      </c>
      <c r="E13" s="500" t="s">
        <v>322</v>
      </c>
      <c r="F13" s="470">
        <f>SUM('[4]TPP BK'!Q15)</f>
        <v>780989.57599162497</v>
      </c>
      <c r="G13" s="148"/>
    </row>
    <row r="14" spans="1:7" ht="15" customHeight="1" x14ac:dyDescent="0.25">
      <c r="A14" s="350"/>
      <c r="B14" s="491"/>
      <c r="C14" s="497"/>
      <c r="D14" s="501"/>
      <c r="E14" s="501"/>
      <c r="F14" s="471"/>
      <c r="G14" s="148"/>
    </row>
    <row r="15" spans="1:7" ht="15" customHeight="1" x14ac:dyDescent="0.25">
      <c r="A15" s="349">
        <v>4</v>
      </c>
      <c r="B15" s="492" t="s">
        <v>41</v>
      </c>
      <c r="C15" s="496" t="s">
        <v>136</v>
      </c>
      <c r="D15" s="505" t="s">
        <v>101</v>
      </c>
      <c r="E15" s="500" t="s">
        <v>191</v>
      </c>
      <c r="F15" s="470">
        <f>SUM('[4]TPP BK'!Q19)</f>
        <v>798679.26438299997</v>
      </c>
      <c r="G15" s="150"/>
    </row>
    <row r="16" spans="1:7" ht="15" customHeight="1" x14ac:dyDescent="0.25">
      <c r="A16" s="350"/>
      <c r="B16" s="493"/>
      <c r="C16" s="497"/>
      <c r="D16" s="506"/>
      <c r="E16" s="501"/>
      <c r="F16" s="471"/>
      <c r="G16" s="148"/>
    </row>
    <row r="17" spans="1:7" ht="15" customHeight="1" x14ac:dyDescent="0.25">
      <c r="A17" s="151">
        <v>5</v>
      </c>
      <c r="B17" s="477" t="s">
        <v>77</v>
      </c>
      <c r="C17" s="496" t="s">
        <v>59</v>
      </c>
      <c r="D17" s="500" t="s">
        <v>116</v>
      </c>
      <c r="E17" s="500" t="s">
        <v>204</v>
      </c>
      <c r="F17" s="470">
        <f>SUM('[4]TPP BK'!Q21)</f>
        <v>454393.42957799998</v>
      </c>
      <c r="G17" s="148"/>
    </row>
    <row r="18" spans="1:7" ht="15" customHeight="1" x14ac:dyDescent="0.25">
      <c r="A18" s="152"/>
      <c r="B18" s="478"/>
      <c r="C18" s="497"/>
      <c r="D18" s="501"/>
      <c r="E18" s="501"/>
      <c r="F18" s="471"/>
      <c r="G18" s="148"/>
    </row>
    <row r="19" spans="1:7" ht="15" customHeight="1" x14ac:dyDescent="0.25">
      <c r="A19" s="151">
        <v>6</v>
      </c>
      <c r="B19" s="477" t="s">
        <v>42</v>
      </c>
      <c r="C19" s="496" t="s">
        <v>32</v>
      </c>
      <c r="D19" s="500" t="s">
        <v>102</v>
      </c>
      <c r="E19" s="500" t="s">
        <v>192</v>
      </c>
      <c r="F19" s="470">
        <f>SUM('[4]TPP BK'!Q23)</f>
        <v>649909.89280799998</v>
      </c>
      <c r="G19" s="148"/>
    </row>
    <row r="20" spans="1:7" ht="15" customHeight="1" x14ac:dyDescent="0.25">
      <c r="A20" s="152"/>
      <c r="B20" s="478"/>
      <c r="C20" s="497"/>
      <c r="D20" s="501"/>
      <c r="E20" s="501"/>
      <c r="F20" s="471"/>
      <c r="G20" s="148"/>
    </row>
    <row r="21" spans="1:7" ht="15" customHeight="1" x14ac:dyDescent="0.25">
      <c r="A21" s="151">
        <v>7</v>
      </c>
      <c r="B21" s="477" t="s">
        <v>43</v>
      </c>
      <c r="C21" s="496" t="s">
        <v>33</v>
      </c>
      <c r="D21" s="500" t="s">
        <v>103</v>
      </c>
      <c r="E21" s="500" t="s">
        <v>193</v>
      </c>
      <c r="F21" s="470">
        <f>SUM('[4]TPP BK'!Q25)</f>
        <v>581135.15691000002</v>
      </c>
      <c r="G21" s="148"/>
    </row>
    <row r="22" spans="1:7" ht="15" customHeight="1" x14ac:dyDescent="0.25">
      <c r="A22" s="152"/>
      <c r="B22" s="478"/>
      <c r="C22" s="497"/>
      <c r="D22" s="501"/>
      <c r="E22" s="501"/>
      <c r="F22" s="471"/>
      <c r="G22" s="148"/>
    </row>
    <row r="23" spans="1:7" ht="15" customHeight="1" x14ac:dyDescent="0.25">
      <c r="A23" s="151">
        <v>8</v>
      </c>
      <c r="B23" s="477" t="s">
        <v>44</v>
      </c>
      <c r="C23" s="494" t="s">
        <v>34</v>
      </c>
      <c r="D23" s="500" t="s">
        <v>104</v>
      </c>
      <c r="E23" s="500" t="s">
        <v>194</v>
      </c>
      <c r="F23" s="470">
        <f>SUM('[4]TPP BK'!Q27)</f>
        <v>668056.29105599993</v>
      </c>
      <c r="G23" s="148"/>
    </row>
    <row r="24" spans="1:7" ht="15" customHeight="1" x14ac:dyDescent="0.25">
      <c r="A24" s="152"/>
      <c r="B24" s="478"/>
      <c r="C24" s="495"/>
      <c r="D24" s="501"/>
      <c r="E24" s="501"/>
      <c r="F24" s="471"/>
      <c r="G24" s="148"/>
    </row>
    <row r="25" spans="1:7" ht="15" customHeight="1" x14ac:dyDescent="0.25">
      <c r="A25" s="151">
        <v>9</v>
      </c>
      <c r="B25" s="477" t="s">
        <v>36</v>
      </c>
      <c r="C25" s="494" t="s">
        <v>35</v>
      </c>
      <c r="D25" s="500" t="s">
        <v>105</v>
      </c>
      <c r="E25" s="500" t="s">
        <v>195</v>
      </c>
      <c r="F25" s="470">
        <f>SUM('[4]TPP BK'!Q29)</f>
        <v>643861.09339200007</v>
      </c>
      <c r="G25" s="150"/>
    </row>
    <row r="26" spans="1:7" ht="15" customHeight="1" x14ac:dyDescent="0.25">
      <c r="A26" s="152"/>
      <c r="B26" s="478"/>
      <c r="C26" s="495"/>
      <c r="D26" s="501"/>
      <c r="E26" s="501"/>
      <c r="F26" s="471"/>
      <c r="G26" s="148"/>
    </row>
    <row r="27" spans="1:7" ht="15" customHeight="1" x14ac:dyDescent="0.25">
      <c r="A27" s="151">
        <v>10</v>
      </c>
      <c r="B27" s="477" t="s">
        <v>74</v>
      </c>
      <c r="C27" s="494" t="s">
        <v>79</v>
      </c>
      <c r="D27" s="500" t="s">
        <v>123</v>
      </c>
      <c r="E27" s="500" t="s">
        <v>189</v>
      </c>
      <c r="F27" s="470">
        <f>SUM('[4]TPP BK'!Q31)</f>
        <v>587541.81859559997</v>
      </c>
      <c r="G27" s="150"/>
    </row>
    <row r="28" spans="1:7" ht="15" customHeight="1" x14ac:dyDescent="0.25">
      <c r="A28" s="152"/>
      <c r="B28" s="478"/>
      <c r="C28" s="495"/>
      <c r="D28" s="501"/>
      <c r="E28" s="501"/>
      <c r="F28" s="471"/>
      <c r="G28" s="148"/>
    </row>
    <row r="29" spans="1:7" ht="15" customHeight="1" x14ac:dyDescent="0.25">
      <c r="A29" s="151">
        <v>11</v>
      </c>
      <c r="B29" s="477" t="s">
        <v>45</v>
      </c>
      <c r="C29" s="496" t="s">
        <v>39</v>
      </c>
      <c r="D29" s="500" t="s">
        <v>106</v>
      </c>
      <c r="E29" s="500" t="s">
        <v>196</v>
      </c>
      <c r="F29" s="470">
        <f>SUM('[4]TPP BK'!Q33)</f>
        <v>390693.44357999996</v>
      </c>
      <c r="G29" s="148"/>
    </row>
    <row r="30" spans="1:7" ht="15" customHeight="1" x14ac:dyDescent="0.25">
      <c r="A30" s="152"/>
      <c r="B30" s="478"/>
      <c r="C30" s="497"/>
      <c r="D30" s="501"/>
      <c r="E30" s="501"/>
      <c r="F30" s="471"/>
      <c r="G30" s="148"/>
    </row>
    <row r="31" spans="1:7" ht="15" customHeight="1" x14ac:dyDescent="0.25">
      <c r="A31" s="151">
        <v>12</v>
      </c>
      <c r="B31" s="477" t="s">
        <v>46</v>
      </c>
      <c r="C31" s="496" t="s">
        <v>37</v>
      </c>
      <c r="D31" s="500" t="s">
        <v>107</v>
      </c>
      <c r="E31" s="500" t="s">
        <v>197</v>
      </c>
      <c r="F31" s="470">
        <f>SUM('[4]TPP BK'!Q35)</f>
        <v>342748.54429200001</v>
      </c>
      <c r="G31" s="148"/>
    </row>
    <row r="32" spans="1:7" ht="15" customHeight="1" x14ac:dyDescent="0.25">
      <c r="A32" s="152"/>
      <c r="B32" s="478"/>
      <c r="C32" s="497"/>
      <c r="D32" s="501"/>
      <c r="E32" s="501"/>
      <c r="F32" s="471"/>
      <c r="G32" s="148"/>
    </row>
    <row r="33" spans="1:7" ht="15" customHeight="1" x14ac:dyDescent="0.25">
      <c r="A33" s="151">
        <v>13</v>
      </c>
      <c r="B33" s="477" t="s">
        <v>47</v>
      </c>
      <c r="C33" s="496" t="s">
        <v>38</v>
      </c>
      <c r="D33" s="500" t="s">
        <v>108</v>
      </c>
      <c r="E33" s="500" t="s">
        <v>198</v>
      </c>
      <c r="F33" s="470">
        <f>SUM('[4]TPP BK'!Q37)</f>
        <v>349121.07499994995</v>
      </c>
      <c r="G33" s="148"/>
    </row>
    <row r="34" spans="1:7" ht="15" customHeight="1" x14ac:dyDescent="0.25">
      <c r="A34" s="152"/>
      <c r="B34" s="478"/>
      <c r="C34" s="497"/>
      <c r="D34" s="501"/>
      <c r="E34" s="501"/>
      <c r="F34" s="471"/>
      <c r="G34" s="148"/>
    </row>
    <row r="35" spans="1:7" ht="15" customHeight="1" x14ac:dyDescent="0.25">
      <c r="A35" s="151">
        <v>14</v>
      </c>
      <c r="B35" s="477" t="s">
        <v>47</v>
      </c>
      <c r="C35" s="496" t="s">
        <v>48</v>
      </c>
      <c r="D35" s="500" t="s">
        <v>109</v>
      </c>
      <c r="E35" s="500" t="s">
        <v>199</v>
      </c>
      <c r="F35" s="470">
        <f>SUM('[4]TPP BK'!Q39)</f>
        <v>383546.61229499994</v>
      </c>
      <c r="G35" s="148"/>
    </row>
    <row r="36" spans="1:7" ht="15" customHeight="1" x14ac:dyDescent="0.25">
      <c r="A36" s="152"/>
      <c r="B36" s="478"/>
      <c r="C36" s="497"/>
      <c r="D36" s="501"/>
      <c r="E36" s="501"/>
      <c r="F36" s="471"/>
      <c r="G36" s="148"/>
    </row>
    <row r="37" spans="1:7" ht="15" customHeight="1" x14ac:dyDescent="0.25">
      <c r="A37" s="151">
        <v>15</v>
      </c>
      <c r="B37" s="477" t="s">
        <v>50</v>
      </c>
      <c r="C37" s="496" t="s">
        <v>49</v>
      </c>
      <c r="D37" s="500" t="s">
        <v>110</v>
      </c>
      <c r="E37" s="500" t="s">
        <v>200</v>
      </c>
      <c r="F37" s="470">
        <f>SUM('[4]TPP BK'!Q41)</f>
        <v>399393.93383999995</v>
      </c>
      <c r="G37" s="148"/>
    </row>
    <row r="38" spans="1:7" ht="15" customHeight="1" x14ac:dyDescent="0.25">
      <c r="A38" s="152"/>
      <c r="B38" s="478"/>
      <c r="C38" s="497"/>
      <c r="D38" s="501"/>
      <c r="E38" s="501"/>
      <c r="F38" s="471"/>
      <c r="G38" s="148"/>
    </row>
    <row r="39" spans="1:7" ht="15" customHeight="1" x14ac:dyDescent="0.25">
      <c r="A39" s="151">
        <v>16</v>
      </c>
      <c r="B39" s="477" t="s">
        <v>51</v>
      </c>
      <c r="C39" s="496" t="s">
        <v>52</v>
      </c>
      <c r="D39" s="500" t="s">
        <v>111</v>
      </c>
      <c r="E39" s="500" t="s">
        <v>201</v>
      </c>
      <c r="F39" s="470">
        <f>SUM('[4]TPP BK'!Q43)</f>
        <v>353009.39882174996</v>
      </c>
      <c r="G39" s="148"/>
    </row>
    <row r="40" spans="1:7" ht="15" customHeight="1" x14ac:dyDescent="0.25">
      <c r="A40" s="152"/>
      <c r="B40" s="478"/>
      <c r="C40" s="497"/>
      <c r="D40" s="501"/>
      <c r="E40" s="501"/>
      <c r="F40" s="471"/>
      <c r="G40" s="148"/>
    </row>
    <row r="41" spans="1:7" ht="15" customHeight="1" x14ac:dyDescent="0.25">
      <c r="A41" s="151">
        <v>17</v>
      </c>
      <c r="B41" s="477" t="s">
        <v>54</v>
      </c>
      <c r="C41" s="496" t="s">
        <v>53</v>
      </c>
      <c r="D41" s="500" t="s">
        <v>112</v>
      </c>
      <c r="E41" s="500" t="s">
        <v>202</v>
      </c>
      <c r="F41" s="470">
        <f>SUM('[4]TPP BK'!Q45)</f>
        <v>354629.53374749998</v>
      </c>
      <c r="G41" s="148"/>
    </row>
    <row r="42" spans="1:7" ht="15" customHeight="1" x14ac:dyDescent="0.25">
      <c r="A42" s="152"/>
      <c r="B42" s="478"/>
      <c r="C42" s="497"/>
      <c r="D42" s="501"/>
      <c r="E42" s="501"/>
      <c r="F42" s="471"/>
      <c r="G42" s="148"/>
    </row>
    <row r="43" spans="1:7" ht="15" customHeight="1" x14ac:dyDescent="0.25">
      <c r="A43" s="151">
        <v>18</v>
      </c>
      <c r="B43" s="477" t="s">
        <v>56</v>
      </c>
      <c r="C43" s="496" t="s">
        <v>55</v>
      </c>
      <c r="D43" s="500" t="s">
        <v>182</v>
      </c>
      <c r="E43" s="500" t="s">
        <v>300</v>
      </c>
      <c r="F43" s="470">
        <f>SUM('[4]TPP BK'!Q47)</f>
        <v>291020.88370162499</v>
      </c>
      <c r="G43" s="148"/>
    </row>
    <row r="44" spans="1:7" ht="15" customHeight="1" x14ac:dyDescent="0.25">
      <c r="A44" s="152"/>
      <c r="B44" s="478"/>
      <c r="C44" s="497"/>
      <c r="D44" s="501"/>
      <c r="E44" s="501"/>
      <c r="F44" s="471"/>
      <c r="G44" s="148"/>
    </row>
    <row r="45" spans="1:7" ht="15" customHeight="1" x14ac:dyDescent="0.25">
      <c r="A45" s="151">
        <v>19</v>
      </c>
      <c r="B45" s="477" t="s">
        <v>61</v>
      </c>
      <c r="C45" s="496" t="s">
        <v>60</v>
      </c>
      <c r="D45" s="500" t="s">
        <v>113</v>
      </c>
      <c r="E45" s="500" t="s">
        <v>203</v>
      </c>
      <c r="F45" s="470">
        <f>SUM('[4]TPP BK'!Q49)</f>
        <v>397405.250352</v>
      </c>
      <c r="G45" s="148"/>
    </row>
    <row r="46" spans="1:7" ht="15" customHeight="1" x14ac:dyDescent="0.25">
      <c r="A46" s="152"/>
      <c r="B46" s="478"/>
      <c r="C46" s="497"/>
      <c r="D46" s="501"/>
      <c r="E46" s="501"/>
      <c r="F46" s="471"/>
      <c r="G46" s="148"/>
    </row>
    <row r="47" spans="1:7" ht="15" customHeight="1" x14ac:dyDescent="0.25">
      <c r="A47" s="151">
        <v>20</v>
      </c>
      <c r="B47" s="477" t="s">
        <v>58</v>
      </c>
      <c r="C47" s="496" t="s">
        <v>57</v>
      </c>
      <c r="D47" s="500" t="s">
        <v>114</v>
      </c>
      <c r="E47" s="500" t="s">
        <v>115</v>
      </c>
      <c r="F47" s="470">
        <f>SUM('[4]TPP BK'!Q51)</f>
        <v>355709.62369799998</v>
      </c>
      <c r="G47" s="148"/>
    </row>
    <row r="48" spans="1:7" ht="15" customHeight="1" x14ac:dyDescent="0.25">
      <c r="A48" s="152"/>
      <c r="B48" s="478"/>
      <c r="C48" s="497"/>
      <c r="D48" s="501"/>
      <c r="E48" s="501"/>
      <c r="F48" s="471"/>
      <c r="G48" s="148"/>
    </row>
    <row r="49" spans="1:8" ht="15" customHeight="1" x14ac:dyDescent="0.25">
      <c r="A49" s="151">
        <v>21</v>
      </c>
      <c r="B49" s="477" t="s">
        <v>63</v>
      </c>
      <c r="C49" s="496" t="s">
        <v>62</v>
      </c>
      <c r="D49" s="500" t="s">
        <v>117</v>
      </c>
      <c r="E49" s="500" t="s">
        <v>301</v>
      </c>
      <c r="F49" s="470">
        <f>SUM('[4]TPP BK'!Q53)</f>
        <v>340318.341903375</v>
      </c>
      <c r="G49" s="148"/>
      <c r="H49" s="148"/>
    </row>
    <row r="50" spans="1:8" ht="15" customHeight="1" x14ac:dyDescent="0.25">
      <c r="A50" s="152"/>
      <c r="B50" s="478"/>
      <c r="C50" s="497"/>
      <c r="D50" s="501"/>
      <c r="E50" s="501"/>
      <c r="F50" s="471"/>
      <c r="G50" s="129"/>
      <c r="H50" s="129"/>
    </row>
    <row r="51" spans="1:8" ht="15" customHeight="1" x14ac:dyDescent="0.25">
      <c r="A51" s="151">
        <v>22</v>
      </c>
      <c r="B51" s="477" t="s">
        <v>65</v>
      </c>
      <c r="C51" s="496" t="s">
        <v>64</v>
      </c>
      <c r="D51" s="505"/>
      <c r="E51" s="500" t="s">
        <v>205</v>
      </c>
      <c r="F51" s="470">
        <f>SUM('[4]TPP BK'!Q55)</f>
        <v>351067.13180550002</v>
      </c>
      <c r="G51" s="148"/>
      <c r="H51" s="129"/>
    </row>
    <row r="52" spans="1:8" ht="15" customHeight="1" x14ac:dyDescent="0.25">
      <c r="A52" s="152"/>
      <c r="B52" s="478"/>
      <c r="C52" s="497"/>
      <c r="D52" s="506"/>
      <c r="E52" s="501"/>
      <c r="F52" s="471"/>
      <c r="G52" s="129"/>
      <c r="H52" s="129"/>
    </row>
    <row r="53" spans="1:8" ht="15" customHeight="1" x14ac:dyDescent="0.25">
      <c r="A53" s="151">
        <v>23</v>
      </c>
      <c r="B53" s="477" t="s">
        <v>67</v>
      </c>
      <c r="C53" s="496" t="s">
        <v>66</v>
      </c>
      <c r="D53" s="500" t="s">
        <v>118</v>
      </c>
      <c r="E53" s="500" t="s">
        <v>206</v>
      </c>
      <c r="F53" s="470">
        <f>SUM('[4]TPP BK'!Q57)</f>
        <v>404303.49620099994</v>
      </c>
      <c r="G53" s="148"/>
      <c r="H53" s="129"/>
    </row>
    <row r="54" spans="1:8" ht="15" customHeight="1" x14ac:dyDescent="0.25">
      <c r="A54" s="152"/>
      <c r="B54" s="478"/>
      <c r="C54" s="497"/>
      <c r="D54" s="501"/>
      <c r="E54" s="501"/>
      <c r="F54" s="471"/>
      <c r="G54" s="129"/>
      <c r="H54" s="129"/>
    </row>
    <row r="55" spans="1:8" ht="15" customHeight="1" x14ac:dyDescent="0.25">
      <c r="A55" s="151">
        <v>24</v>
      </c>
      <c r="B55" s="477" t="s">
        <v>69</v>
      </c>
      <c r="C55" s="496" t="s">
        <v>68</v>
      </c>
      <c r="D55" s="500" t="s">
        <v>119</v>
      </c>
      <c r="E55" s="500" t="s">
        <v>207</v>
      </c>
      <c r="F55" s="470">
        <f>SUM('[4]TPP BK'!Q59)</f>
        <v>345988.81414349994</v>
      </c>
      <c r="G55" s="148"/>
      <c r="H55" s="509"/>
    </row>
    <row r="56" spans="1:8" ht="15" customHeight="1" x14ac:dyDescent="0.25">
      <c r="A56" s="152"/>
      <c r="B56" s="478"/>
      <c r="C56" s="497"/>
      <c r="D56" s="501"/>
      <c r="E56" s="501"/>
      <c r="F56" s="471"/>
      <c r="G56" s="149"/>
      <c r="H56" s="510"/>
    </row>
    <row r="57" spans="1:8" ht="15" customHeight="1" x14ac:dyDescent="0.25">
      <c r="A57" s="151">
        <v>25</v>
      </c>
      <c r="B57" s="477" t="s">
        <v>71</v>
      </c>
      <c r="C57" s="496" t="s">
        <v>70</v>
      </c>
      <c r="D57" s="500" t="s">
        <v>120</v>
      </c>
      <c r="E57" s="500" t="s">
        <v>208</v>
      </c>
      <c r="F57" s="470">
        <f>SUM('[4]TPP BK'!Q61)</f>
        <v>387275.393835</v>
      </c>
      <c r="G57" s="148"/>
      <c r="H57" s="129"/>
    </row>
    <row r="58" spans="1:8" ht="15" customHeight="1" x14ac:dyDescent="0.25">
      <c r="A58" s="152"/>
      <c r="B58" s="478"/>
      <c r="C58" s="497"/>
      <c r="D58" s="501"/>
      <c r="E58" s="501"/>
      <c r="F58" s="471"/>
      <c r="G58" s="129"/>
      <c r="H58" s="129"/>
    </row>
    <row r="59" spans="1:8" ht="15" customHeight="1" x14ac:dyDescent="0.25">
      <c r="A59" s="151">
        <v>26</v>
      </c>
      <c r="B59" s="477" t="s">
        <v>71</v>
      </c>
      <c r="C59" s="496" t="s">
        <v>72</v>
      </c>
      <c r="D59" s="500" t="s">
        <v>121</v>
      </c>
      <c r="E59" s="500" t="s">
        <v>209</v>
      </c>
      <c r="F59" s="470">
        <f>SUM('[4]TPP BK'!Q63)</f>
        <v>392868.56614499999</v>
      </c>
      <c r="G59" s="150"/>
      <c r="H59" s="129"/>
    </row>
    <row r="60" spans="1:8" ht="15" customHeight="1" x14ac:dyDescent="0.25">
      <c r="A60" s="152"/>
      <c r="B60" s="478"/>
      <c r="C60" s="497"/>
      <c r="D60" s="501"/>
      <c r="E60" s="501"/>
      <c r="F60" s="471"/>
      <c r="G60" s="129"/>
      <c r="H60" s="129"/>
    </row>
    <row r="61" spans="1:8" ht="15" customHeight="1" x14ac:dyDescent="0.25">
      <c r="A61" s="151">
        <v>27</v>
      </c>
      <c r="B61" s="477" t="s">
        <v>73</v>
      </c>
      <c r="C61" s="494" t="s">
        <v>76</v>
      </c>
      <c r="D61" s="500" t="s">
        <v>122</v>
      </c>
      <c r="E61" s="507" t="s">
        <v>314</v>
      </c>
      <c r="F61" s="470">
        <f>SUM('[4]TPP BK'!Q65)</f>
        <v>347608.94906925003</v>
      </c>
      <c r="G61" s="148"/>
      <c r="H61" s="129"/>
    </row>
    <row r="62" spans="1:8" ht="15" customHeight="1" x14ac:dyDescent="0.25">
      <c r="A62" s="152"/>
      <c r="B62" s="478"/>
      <c r="C62" s="495"/>
      <c r="D62" s="501"/>
      <c r="E62" s="508"/>
      <c r="F62" s="471"/>
      <c r="G62" s="129"/>
      <c r="H62" s="129"/>
    </row>
    <row r="63" spans="1:8" ht="15" customHeight="1" x14ac:dyDescent="0.25">
      <c r="A63" s="151">
        <v>28</v>
      </c>
      <c r="B63" s="477" t="s">
        <v>75</v>
      </c>
      <c r="C63" s="494" t="s">
        <v>80</v>
      </c>
      <c r="D63" s="500" t="s">
        <v>124</v>
      </c>
      <c r="E63" s="500" t="s">
        <v>311</v>
      </c>
      <c r="F63" s="470">
        <f>SUM('[4]TPP BK'!Q67)</f>
        <v>413687.59640999994</v>
      </c>
      <c r="G63" s="148"/>
      <c r="H63" s="129"/>
    </row>
    <row r="64" spans="1:8" ht="15" customHeight="1" x14ac:dyDescent="0.25">
      <c r="A64" s="152"/>
      <c r="B64" s="478"/>
      <c r="C64" s="495"/>
      <c r="D64" s="501"/>
      <c r="E64" s="501"/>
      <c r="F64" s="471"/>
      <c r="G64" s="129"/>
      <c r="H64" s="129"/>
    </row>
    <row r="65" spans="1:8" ht="15" customHeight="1" x14ac:dyDescent="0.25">
      <c r="A65" s="151">
        <v>29</v>
      </c>
      <c r="B65" s="477" t="s">
        <v>78</v>
      </c>
      <c r="C65" s="494" t="s">
        <v>81</v>
      </c>
      <c r="D65" s="500" t="s">
        <v>183</v>
      </c>
      <c r="E65" s="500" t="s">
        <v>210</v>
      </c>
      <c r="F65" s="470">
        <f>SUM('[4]TPP BK'!Q69)</f>
        <v>378264.17177999992</v>
      </c>
      <c r="G65" s="148"/>
      <c r="H65" s="129"/>
    </row>
    <row r="66" spans="1:8" ht="15" customHeight="1" x14ac:dyDescent="0.25">
      <c r="A66" s="152"/>
      <c r="B66" s="478"/>
      <c r="C66" s="495"/>
      <c r="D66" s="501"/>
      <c r="E66" s="501"/>
      <c r="F66" s="471"/>
      <c r="G66" s="129"/>
      <c r="H66" s="129"/>
    </row>
    <row r="67" spans="1:8" ht="15" customHeight="1" x14ac:dyDescent="0.25">
      <c r="A67" s="151">
        <v>30</v>
      </c>
      <c r="B67" s="477" t="s">
        <v>83</v>
      </c>
      <c r="C67" s="494" t="s">
        <v>82</v>
      </c>
      <c r="D67" s="500" t="s">
        <v>125</v>
      </c>
      <c r="E67" s="500" t="s">
        <v>313</v>
      </c>
      <c r="F67" s="470">
        <f>SUM('[4]TPP BK'!Q71)</f>
        <v>357329.75862374995</v>
      </c>
      <c r="G67" s="148"/>
      <c r="H67" s="129"/>
    </row>
    <row r="68" spans="1:8" ht="15" customHeight="1" x14ac:dyDescent="0.25">
      <c r="A68" s="152"/>
      <c r="B68" s="478"/>
      <c r="C68" s="495"/>
      <c r="D68" s="501"/>
      <c r="E68" s="501"/>
      <c r="F68" s="471"/>
      <c r="G68" s="129"/>
      <c r="H68" s="129"/>
    </row>
    <row r="69" spans="1:8" ht="15" customHeight="1" x14ac:dyDescent="0.25">
      <c r="A69" s="151">
        <v>31</v>
      </c>
      <c r="B69" s="477" t="s">
        <v>89</v>
      </c>
      <c r="C69" s="496" t="s">
        <v>88</v>
      </c>
      <c r="D69" s="500" t="s">
        <v>126</v>
      </c>
      <c r="E69" s="500" t="s">
        <v>312</v>
      </c>
      <c r="F69" s="470">
        <f>SUM('[4]TPP BK'!Q73)</f>
        <v>353549.44379699999</v>
      </c>
      <c r="G69" s="148"/>
      <c r="H69" s="129"/>
    </row>
    <row r="70" spans="1:8" ht="15" customHeight="1" x14ac:dyDescent="0.25">
      <c r="A70" s="152"/>
      <c r="B70" s="478"/>
      <c r="C70" s="497"/>
      <c r="D70" s="501"/>
      <c r="E70" s="501"/>
      <c r="F70" s="471"/>
      <c r="G70" s="129"/>
      <c r="H70" s="129"/>
    </row>
    <row r="71" spans="1:8" ht="15" customHeight="1" x14ac:dyDescent="0.25">
      <c r="A71" s="151">
        <v>32</v>
      </c>
      <c r="B71" s="477" t="s">
        <v>96</v>
      </c>
      <c r="C71" s="496" t="s">
        <v>95</v>
      </c>
      <c r="D71" s="500" t="s">
        <v>184</v>
      </c>
      <c r="E71" s="500" t="s">
        <v>310</v>
      </c>
      <c r="F71" s="470">
        <f>SUM('[4]TPP BK'!Q75)</f>
        <v>406789.350561</v>
      </c>
      <c r="G71" s="148"/>
      <c r="H71" s="129"/>
    </row>
    <row r="72" spans="1:8" ht="15" customHeight="1" x14ac:dyDescent="0.25">
      <c r="A72" s="152"/>
      <c r="B72" s="478"/>
      <c r="C72" s="497"/>
      <c r="D72" s="501"/>
      <c r="E72" s="501"/>
      <c r="F72" s="471"/>
      <c r="G72" s="129"/>
      <c r="H72" s="129"/>
    </row>
    <row r="73" spans="1:8" ht="15" customHeight="1" x14ac:dyDescent="0.25">
      <c r="A73" s="151">
        <v>33</v>
      </c>
      <c r="B73" s="477" t="s">
        <v>186</v>
      </c>
      <c r="C73" s="484" t="s">
        <v>132</v>
      </c>
      <c r="D73" s="477" t="s">
        <v>187</v>
      </c>
      <c r="E73" s="472" t="s">
        <v>309</v>
      </c>
      <c r="F73" s="470">
        <f>SUM('[4]TPP BK'!Q77)</f>
        <v>356519.69116087497</v>
      </c>
      <c r="G73" s="148"/>
      <c r="H73" s="129"/>
    </row>
    <row r="74" spans="1:8" ht="15" customHeight="1" x14ac:dyDescent="0.25">
      <c r="A74" s="152"/>
      <c r="B74" s="478"/>
      <c r="C74" s="485"/>
      <c r="D74" s="478"/>
      <c r="E74" s="473"/>
      <c r="F74" s="471"/>
      <c r="G74" s="129"/>
      <c r="H74" s="129"/>
    </row>
    <row r="75" spans="1:8" ht="15" customHeight="1" x14ac:dyDescent="0.25">
      <c r="A75" s="151">
        <v>34</v>
      </c>
      <c r="B75" s="476" t="s">
        <v>228</v>
      </c>
      <c r="C75" s="484" t="s">
        <v>219</v>
      </c>
      <c r="D75" s="477" t="s">
        <v>232</v>
      </c>
      <c r="E75" s="472" t="s">
        <v>308</v>
      </c>
      <c r="F75" s="470">
        <f>SUM('[4]TPP BK'!Q79)</f>
        <v>411823.20564</v>
      </c>
      <c r="G75" s="148"/>
      <c r="H75" s="129"/>
    </row>
    <row r="76" spans="1:8" ht="15" customHeight="1" x14ac:dyDescent="0.25">
      <c r="A76" s="152"/>
      <c r="B76" s="476"/>
      <c r="C76" s="485"/>
      <c r="D76" s="478"/>
      <c r="E76" s="473"/>
      <c r="F76" s="471"/>
      <c r="G76" s="129"/>
      <c r="H76" s="129"/>
    </row>
    <row r="77" spans="1:8" ht="15" customHeight="1" x14ac:dyDescent="0.25">
      <c r="A77" s="151">
        <v>35</v>
      </c>
      <c r="B77" s="476" t="s">
        <v>229</v>
      </c>
      <c r="C77" s="484" t="s">
        <v>221</v>
      </c>
      <c r="D77" s="477" t="s">
        <v>233</v>
      </c>
      <c r="E77" s="472" t="s">
        <v>307</v>
      </c>
      <c r="F77" s="470">
        <f>SUM('[4]TPP BK'!Q81)</f>
        <v>405608.56973999995</v>
      </c>
      <c r="G77" s="148"/>
      <c r="H77" s="129"/>
    </row>
    <row r="78" spans="1:8" ht="15" customHeight="1" x14ac:dyDescent="0.25">
      <c r="A78" s="152"/>
      <c r="B78" s="476"/>
      <c r="C78" s="485"/>
      <c r="D78" s="478"/>
      <c r="E78" s="473"/>
      <c r="F78" s="471"/>
      <c r="G78" s="129"/>
      <c r="H78" s="129"/>
    </row>
    <row r="79" spans="1:8" ht="15" customHeight="1" x14ac:dyDescent="0.25">
      <c r="A79" s="151">
        <v>36</v>
      </c>
      <c r="B79" s="474" t="s">
        <v>230</v>
      </c>
      <c r="C79" s="484" t="s">
        <v>223</v>
      </c>
      <c r="D79" s="477" t="s">
        <v>234</v>
      </c>
      <c r="E79" s="472" t="s">
        <v>306</v>
      </c>
      <c r="F79" s="470">
        <f>SUM('[4]TPP BK'!Q83)</f>
        <v>375568.11962999997</v>
      </c>
      <c r="G79" s="148"/>
      <c r="H79" s="129"/>
    </row>
    <row r="80" spans="1:8" ht="15" customHeight="1" x14ac:dyDescent="0.25">
      <c r="A80" s="152"/>
      <c r="B80" s="475"/>
      <c r="C80" s="485"/>
      <c r="D80" s="478"/>
      <c r="E80" s="473"/>
      <c r="F80" s="471"/>
      <c r="G80" s="129"/>
      <c r="H80" s="129"/>
    </row>
    <row r="81" spans="1:8" ht="15" customHeight="1" x14ac:dyDescent="0.25">
      <c r="A81" s="151">
        <v>37</v>
      </c>
      <c r="B81" s="477" t="s">
        <v>231</v>
      </c>
      <c r="C81" s="484" t="s">
        <v>225</v>
      </c>
      <c r="D81" s="477" t="s">
        <v>235</v>
      </c>
      <c r="E81" s="472" t="s">
        <v>305</v>
      </c>
      <c r="F81" s="470">
        <f>SUM('[4]TPP BK'!Q85)</f>
        <v>304204.39087499998</v>
      </c>
      <c r="G81" s="148"/>
      <c r="H81" s="129"/>
    </row>
    <row r="82" spans="1:8" ht="15" customHeight="1" x14ac:dyDescent="0.25">
      <c r="A82" s="152"/>
      <c r="B82" s="478"/>
      <c r="C82" s="485"/>
      <c r="D82" s="478"/>
      <c r="E82" s="473"/>
      <c r="F82" s="471"/>
      <c r="G82" s="129"/>
      <c r="H82" s="129"/>
    </row>
    <row r="83" spans="1:8" ht="15" customHeight="1" x14ac:dyDescent="0.25">
      <c r="A83" s="151">
        <v>38</v>
      </c>
      <c r="B83" s="477" t="s">
        <v>296</v>
      </c>
      <c r="C83" s="484" t="s">
        <v>246</v>
      </c>
      <c r="D83" s="477" t="s">
        <v>319</v>
      </c>
      <c r="E83" s="472" t="s">
        <v>304</v>
      </c>
      <c r="F83" s="470">
        <f>SUM('[4]TPP BK'!Q87)</f>
        <v>336268.00458900002</v>
      </c>
      <c r="G83" s="150"/>
      <c r="H83" s="129"/>
    </row>
    <row r="84" spans="1:8" ht="15" customHeight="1" x14ac:dyDescent="0.25">
      <c r="A84" s="152"/>
      <c r="B84" s="478"/>
      <c r="C84" s="485"/>
      <c r="D84" s="478"/>
      <c r="E84" s="473"/>
      <c r="F84" s="471"/>
      <c r="G84" s="129"/>
      <c r="H84" s="129"/>
    </row>
    <row r="85" spans="1:8" ht="15" customHeight="1" x14ac:dyDescent="0.25">
      <c r="A85" s="151">
        <v>39</v>
      </c>
      <c r="B85" s="477" t="s">
        <v>297</v>
      </c>
      <c r="C85" s="486" t="s">
        <v>238</v>
      </c>
      <c r="D85" s="477" t="s">
        <v>318</v>
      </c>
      <c r="E85" s="488" t="s">
        <v>302</v>
      </c>
      <c r="F85" s="470">
        <f>SUM('[4]TPP BK'!Q89)</f>
        <v>359489.93852474994</v>
      </c>
      <c r="G85" s="148"/>
      <c r="H85" s="129"/>
    </row>
    <row r="86" spans="1:8" ht="15" customHeight="1" x14ac:dyDescent="0.25">
      <c r="A86" s="152"/>
      <c r="B86" s="478"/>
      <c r="C86" s="487"/>
      <c r="D86" s="478"/>
      <c r="E86" s="489"/>
      <c r="F86" s="471"/>
      <c r="G86" s="129"/>
      <c r="H86" s="129"/>
    </row>
    <row r="87" spans="1:8" ht="15" customHeight="1" x14ac:dyDescent="0.25">
      <c r="A87" s="151">
        <v>40</v>
      </c>
      <c r="B87" s="477" t="s">
        <v>298</v>
      </c>
      <c r="C87" s="502" t="s">
        <v>244</v>
      </c>
      <c r="D87" s="477" t="s">
        <v>317</v>
      </c>
      <c r="E87" s="488" t="s">
        <v>303</v>
      </c>
      <c r="F87" s="470">
        <f>SUM('[4]TPP BK'!Q91)</f>
        <v>356240.37437999999</v>
      </c>
      <c r="G87" s="148"/>
      <c r="H87" s="129"/>
    </row>
    <row r="88" spans="1:8" ht="15" customHeight="1" x14ac:dyDescent="0.25">
      <c r="A88" s="152"/>
      <c r="B88" s="478"/>
      <c r="C88" s="503"/>
      <c r="D88" s="478"/>
      <c r="E88" s="489"/>
      <c r="F88" s="471"/>
      <c r="G88" s="129"/>
      <c r="H88" s="129"/>
    </row>
    <row r="89" spans="1:8" ht="15" customHeight="1" x14ac:dyDescent="0.25">
      <c r="A89" s="151">
        <v>41</v>
      </c>
      <c r="B89" s="477" t="s">
        <v>299</v>
      </c>
      <c r="C89" s="486" t="s">
        <v>241</v>
      </c>
      <c r="D89" s="477" t="s">
        <v>324</v>
      </c>
      <c r="E89" s="488" t="s">
        <v>325</v>
      </c>
      <c r="F89" s="470">
        <f>SUM('[4]TPP BK'!Q93)</f>
        <v>409337.35128</v>
      </c>
      <c r="G89" s="148"/>
      <c r="H89" s="129"/>
    </row>
    <row r="90" spans="1:8" ht="11.25" customHeight="1" x14ac:dyDescent="0.25">
      <c r="A90" s="153"/>
      <c r="B90" s="478"/>
      <c r="C90" s="504"/>
      <c r="D90" s="478"/>
      <c r="E90" s="489"/>
      <c r="F90" s="471"/>
      <c r="G90" s="129"/>
      <c r="H90" s="129"/>
    </row>
    <row r="91" spans="1:8" ht="15" customHeight="1" x14ac:dyDescent="0.25">
      <c r="A91" s="24"/>
      <c r="B91" s="481" t="s">
        <v>8</v>
      </c>
      <c r="C91" s="482"/>
      <c r="D91" s="482"/>
      <c r="E91" s="483"/>
      <c r="F91" s="25">
        <f>SUM(F9:F90)</f>
        <v>17813081.350147046</v>
      </c>
      <c r="G91" s="142"/>
      <c r="H91" s="142"/>
    </row>
    <row r="92" spans="1:8" ht="13.5" customHeight="1" x14ac:dyDescent="0.25">
      <c r="A92" s="123" t="s">
        <v>127</v>
      </c>
      <c r="B92" s="135" t="s">
        <v>316</v>
      </c>
      <c r="C92" s="119"/>
      <c r="D92" s="26"/>
      <c r="E92" s="26"/>
      <c r="F92" s="27"/>
      <c r="G92" s="143"/>
    </row>
    <row r="93" spans="1:8" ht="13.5" customHeight="1" x14ac:dyDescent="0.25">
      <c r="A93" s="26"/>
      <c r="B93" s="26"/>
      <c r="C93" s="26"/>
      <c r="D93" s="26"/>
      <c r="E93" s="26"/>
      <c r="F93" s="20"/>
    </row>
    <row r="94" spans="1:8" ht="13.5" customHeight="1" x14ac:dyDescent="0.25">
      <c r="A94" s="26"/>
      <c r="B94" s="26"/>
      <c r="C94" s="26"/>
      <c r="D94" s="26"/>
      <c r="E94" s="26"/>
      <c r="F94" s="28"/>
    </row>
    <row r="95" spans="1:8" ht="14.25" customHeight="1" x14ac:dyDescent="0.25">
      <c r="A95" s="26"/>
      <c r="B95" s="26"/>
      <c r="C95" s="26"/>
      <c r="D95" s="65" t="s">
        <v>340</v>
      </c>
      <c r="E95" s="65"/>
      <c r="F95" s="64"/>
    </row>
    <row r="96" spans="1:8" ht="12.75" customHeight="1" x14ac:dyDescent="0.25">
      <c r="A96" s="26"/>
      <c r="B96" s="26"/>
      <c r="C96" s="26"/>
      <c r="D96" s="65"/>
      <c r="E96" s="65"/>
      <c r="F96" s="64"/>
    </row>
    <row r="97" spans="1:6" ht="16.5" customHeight="1" x14ac:dyDescent="0.25">
      <c r="A97" s="26"/>
      <c r="B97" s="26"/>
      <c r="C97" s="26"/>
      <c r="D97" s="65" t="s">
        <v>91</v>
      </c>
      <c r="E97" s="65"/>
      <c r="F97" s="64"/>
    </row>
    <row r="98" spans="1:6" ht="15" customHeight="1" x14ac:dyDescent="0.25">
      <c r="A98" s="26"/>
      <c r="B98" s="26"/>
      <c r="C98" s="26"/>
      <c r="D98" s="65" t="s">
        <v>92</v>
      </c>
      <c r="E98" s="65"/>
      <c r="F98" s="64"/>
    </row>
    <row r="99" spans="1:6" ht="11.25" customHeight="1" x14ac:dyDescent="0.25">
      <c r="A99" s="26"/>
      <c r="B99" s="26"/>
      <c r="C99" s="26"/>
      <c r="D99" s="65"/>
      <c r="E99" s="65"/>
      <c r="F99" s="64"/>
    </row>
    <row r="100" spans="1:6" ht="15" customHeight="1" x14ac:dyDescent="0.25">
      <c r="A100" s="26"/>
      <c r="B100" s="26"/>
      <c r="C100" s="26"/>
      <c r="D100" s="65"/>
      <c r="E100" s="65"/>
      <c r="F100" s="64"/>
    </row>
    <row r="101" spans="1:6" ht="11.25" customHeight="1" x14ac:dyDescent="0.25">
      <c r="A101" s="26"/>
      <c r="B101" s="26"/>
      <c r="C101" s="26"/>
      <c r="D101" s="65"/>
      <c r="E101" s="65"/>
      <c r="F101" s="64"/>
    </row>
    <row r="102" spans="1:6" ht="14.25" customHeight="1" x14ac:dyDescent="0.25">
      <c r="A102" s="26"/>
      <c r="B102" s="26"/>
      <c r="C102" s="26"/>
      <c r="D102" s="66" t="s">
        <v>236</v>
      </c>
      <c r="E102" s="66"/>
      <c r="F102" s="64"/>
    </row>
    <row r="103" spans="1:6" ht="15.75" x14ac:dyDescent="0.25">
      <c r="D103" s="65" t="s">
        <v>93</v>
      </c>
      <c r="E103" s="15" t="s">
        <v>181</v>
      </c>
      <c r="F103" s="15"/>
    </row>
    <row r="104" spans="1:6" ht="14.25" customHeight="1" x14ac:dyDescent="0.25">
      <c r="D104" s="65" t="s">
        <v>94</v>
      </c>
      <c r="E104" s="15" t="s">
        <v>273</v>
      </c>
      <c r="F104" s="15"/>
    </row>
    <row r="105" spans="1:6" ht="18" customHeight="1" x14ac:dyDescent="0.25">
      <c r="E105" s="63"/>
    </row>
    <row r="106" spans="1:6" ht="11.25" customHeight="1" x14ac:dyDescent="0.25"/>
    <row r="107" spans="1:6" ht="12" customHeight="1" x14ac:dyDescent="0.25"/>
    <row r="108" spans="1:6" ht="17.25" customHeight="1" x14ac:dyDescent="0.25"/>
    <row r="109" spans="1:6" ht="10.5" customHeight="1" x14ac:dyDescent="0.25"/>
    <row r="110" spans="1:6" ht="15.75" customHeight="1" x14ac:dyDescent="0.25"/>
  </sheetData>
  <mergeCells count="219">
    <mergeCell ref="E45:E46"/>
    <mergeCell ref="D45:D46"/>
    <mergeCell ref="E43:E44"/>
    <mergeCell ref="E47:E48"/>
    <mergeCell ref="D47:D48"/>
    <mergeCell ref="H55:H56"/>
    <mergeCell ref="B45:B46"/>
    <mergeCell ref="B43:B44"/>
    <mergeCell ref="B35:B36"/>
    <mergeCell ref="B37:B38"/>
    <mergeCell ref="B39:B40"/>
    <mergeCell ref="B41:B42"/>
    <mergeCell ref="B53:B54"/>
    <mergeCell ref="E55:E56"/>
    <mergeCell ref="D55:D56"/>
    <mergeCell ref="E37:E38"/>
    <mergeCell ref="D39:D40"/>
    <mergeCell ref="E39:E40"/>
    <mergeCell ref="E41:E42"/>
    <mergeCell ref="D41:D42"/>
    <mergeCell ref="C41:C42"/>
    <mergeCell ref="C43:C44"/>
    <mergeCell ref="C39:C40"/>
    <mergeCell ref="C45:C46"/>
    <mergeCell ref="E33:E34"/>
    <mergeCell ref="D31:D32"/>
    <mergeCell ref="E31:E32"/>
    <mergeCell ref="B31:B32"/>
    <mergeCell ref="E35:E36"/>
    <mergeCell ref="D35:D36"/>
    <mergeCell ref="B33:B34"/>
    <mergeCell ref="C37:C38"/>
    <mergeCell ref="C35:C36"/>
    <mergeCell ref="C33:C34"/>
    <mergeCell ref="C31:C32"/>
    <mergeCell ref="D33:D34"/>
    <mergeCell ref="D37:D38"/>
    <mergeCell ref="E63:E64"/>
    <mergeCell ref="C49:C50"/>
    <mergeCell ref="C51:C52"/>
    <mergeCell ref="C53:C54"/>
    <mergeCell ref="C55:C56"/>
    <mergeCell ref="C57:C58"/>
    <mergeCell ref="B59:B60"/>
    <mergeCell ref="B55:B56"/>
    <mergeCell ref="B51:B52"/>
    <mergeCell ref="B49:B50"/>
    <mergeCell ref="D49:D50"/>
    <mergeCell ref="E49:E50"/>
    <mergeCell ref="D51:D52"/>
    <mergeCell ref="E51:E52"/>
    <mergeCell ref="D53:D54"/>
    <mergeCell ref="E53:E54"/>
    <mergeCell ref="E61:E62"/>
    <mergeCell ref="B57:B58"/>
    <mergeCell ref="E57:E58"/>
    <mergeCell ref="D57:D58"/>
    <mergeCell ref="B61:B62"/>
    <mergeCell ref="E29:E30"/>
    <mergeCell ref="E71:E72"/>
    <mergeCell ref="D71:D72"/>
    <mergeCell ref="C71:C72"/>
    <mergeCell ref="B71:B72"/>
    <mergeCell ref="B69:B70"/>
    <mergeCell ref="C69:C70"/>
    <mergeCell ref="D69:D70"/>
    <mergeCell ref="E69:E70"/>
    <mergeCell ref="C67:C68"/>
    <mergeCell ref="D67:D68"/>
    <mergeCell ref="B47:B48"/>
    <mergeCell ref="C59:C60"/>
    <mergeCell ref="D59:D60"/>
    <mergeCell ref="E59:E60"/>
    <mergeCell ref="D61:D62"/>
    <mergeCell ref="C61:C62"/>
    <mergeCell ref="E67:E68"/>
    <mergeCell ref="B67:B68"/>
    <mergeCell ref="D65:D66"/>
    <mergeCell ref="E65:E66"/>
    <mergeCell ref="B63:B64"/>
    <mergeCell ref="C63:C64"/>
    <mergeCell ref="D63:D64"/>
    <mergeCell ref="E9:E10"/>
    <mergeCell ref="D11:D12"/>
    <mergeCell ref="E11:E12"/>
    <mergeCell ref="D17:D18"/>
    <mergeCell ref="E17:E18"/>
    <mergeCell ref="C17:C18"/>
    <mergeCell ref="C15:C16"/>
    <mergeCell ref="D15:D16"/>
    <mergeCell ref="E15:E16"/>
    <mergeCell ref="E13:E14"/>
    <mergeCell ref="E25:E26"/>
    <mergeCell ref="B11:B12"/>
    <mergeCell ref="B13:B14"/>
    <mergeCell ref="E27:E28"/>
    <mergeCell ref="B21:B22"/>
    <mergeCell ref="C21:C22"/>
    <mergeCell ref="D21:D22"/>
    <mergeCell ref="E21:E22"/>
    <mergeCell ref="B23:B24"/>
    <mergeCell ref="C23:C24"/>
    <mergeCell ref="D23:D24"/>
    <mergeCell ref="E23:E24"/>
    <mergeCell ref="B17:B18"/>
    <mergeCell ref="B19:B20"/>
    <mergeCell ref="A9:A10"/>
    <mergeCell ref="A11:A12"/>
    <mergeCell ref="A13:A14"/>
    <mergeCell ref="A15:A16"/>
    <mergeCell ref="D73:D74"/>
    <mergeCell ref="C13:C14"/>
    <mergeCell ref="D13:D14"/>
    <mergeCell ref="B27:B28"/>
    <mergeCell ref="C27:C28"/>
    <mergeCell ref="D27:D28"/>
    <mergeCell ref="B29:B30"/>
    <mergeCell ref="C29:C30"/>
    <mergeCell ref="D29:D30"/>
    <mergeCell ref="C47:C48"/>
    <mergeCell ref="D43:D44"/>
    <mergeCell ref="C19:C20"/>
    <mergeCell ref="D19:D20"/>
    <mergeCell ref="B25:B26"/>
    <mergeCell ref="C25:C26"/>
    <mergeCell ref="D25:D26"/>
    <mergeCell ref="E87:E88"/>
    <mergeCell ref="F87:F88"/>
    <mergeCell ref="D89:D90"/>
    <mergeCell ref="E89:E90"/>
    <mergeCell ref="F89:F90"/>
    <mergeCell ref="B87:B88"/>
    <mergeCell ref="C87:C88"/>
    <mergeCell ref="B89:B90"/>
    <mergeCell ref="C89:C90"/>
    <mergeCell ref="D87:D88"/>
    <mergeCell ref="B85:B86"/>
    <mergeCell ref="C85:C86"/>
    <mergeCell ref="D85:D86"/>
    <mergeCell ref="E85:E86"/>
    <mergeCell ref="F85:F86"/>
    <mergeCell ref="B9:B10"/>
    <mergeCell ref="B15:B16"/>
    <mergeCell ref="C83:C84"/>
    <mergeCell ref="B83:B84"/>
    <mergeCell ref="D83:D84"/>
    <mergeCell ref="B81:B82"/>
    <mergeCell ref="C81:C82"/>
    <mergeCell ref="D81:D82"/>
    <mergeCell ref="B65:B66"/>
    <mergeCell ref="C65:C66"/>
    <mergeCell ref="C9:C10"/>
    <mergeCell ref="C11:C12"/>
    <mergeCell ref="D9:D10"/>
    <mergeCell ref="F69:F70"/>
    <mergeCell ref="F53:F54"/>
    <mergeCell ref="C75:C76"/>
    <mergeCell ref="C77:C78"/>
    <mergeCell ref="C79:C80"/>
    <mergeCell ref="E19:E20"/>
    <mergeCell ref="F33:F34"/>
    <mergeCell ref="F15:F16"/>
    <mergeCell ref="F17:F18"/>
    <mergeCell ref="F25:F26"/>
    <mergeCell ref="F19:F20"/>
    <mergeCell ref="F21:F22"/>
    <mergeCell ref="F23:F24"/>
    <mergeCell ref="F9:F10"/>
    <mergeCell ref="F11:F12"/>
    <mergeCell ref="F13:F14"/>
    <mergeCell ref="F55:F56"/>
    <mergeCell ref="F43:F44"/>
    <mergeCell ref="F45:F46"/>
    <mergeCell ref="F47:F48"/>
    <mergeCell ref="F49:F50"/>
    <mergeCell ref="F35:F36"/>
    <mergeCell ref="F37:F38"/>
    <mergeCell ref="F39:F40"/>
    <mergeCell ref="F41:F42"/>
    <mergeCell ref="F51:F52"/>
    <mergeCell ref="A2:F2"/>
    <mergeCell ref="A3:F3"/>
    <mergeCell ref="A6:A7"/>
    <mergeCell ref="B6:B7"/>
    <mergeCell ref="C6:C7"/>
    <mergeCell ref="D6:D7"/>
    <mergeCell ref="E6:E7"/>
    <mergeCell ref="F6:F7"/>
    <mergeCell ref="B91:E91"/>
    <mergeCell ref="F27:F28"/>
    <mergeCell ref="F29:F30"/>
    <mergeCell ref="F31:F32"/>
    <mergeCell ref="F65:F66"/>
    <mergeCell ref="F57:F58"/>
    <mergeCell ref="F59:F60"/>
    <mergeCell ref="F61:F62"/>
    <mergeCell ref="F63:F64"/>
    <mergeCell ref="F67:F68"/>
    <mergeCell ref="F71:F72"/>
    <mergeCell ref="B73:B74"/>
    <mergeCell ref="C73:C74"/>
    <mergeCell ref="E83:E84"/>
    <mergeCell ref="E81:E82"/>
    <mergeCell ref="F81:F82"/>
    <mergeCell ref="F73:F74"/>
    <mergeCell ref="E73:E74"/>
    <mergeCell ref="B79:B80"/>
    <mergeCell ref="B77:B78"/>
    <mergeCell ref="B75:B76"/>
    <mergeCell ref="F75:F76"/>
    <mergeCell ref="F77:F78"/>
    <mergeCell ref="F79:F80"/>
    <mergeCell ref="F83:F84"/>
    <mergeCell ref="D75:D76"/>
    <mergeCell ref="E75:E76"/>
    <mergeCell ref="D79:D80"/>
    <mergeCell ref="E79:E80"/>
    <mergeCell ref="E77:E78"/>
    <mergeCell ref="D77:D78"/>
  </mergeCells>
  <pageMargins left="0.27559055118110237" right="0.15748031496062992" top="0.51181102362204722" bottom="0.43307086614173229" header="0.31496062992125984" footer="0.15748031496062992"/>
  <pageSetup paperSize="10000" scale="85" orientation="portrait" horizontalDpi="4294967293" verticalDpi="0" r:id="rId1"/>
  <headerFooter scaleWithDoc="0" alignWithMargins="0">
    <oddFooter>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F17" sqref="F17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P22"/>
  <sheetViews>
    <sheetView topLeftCell="A3" workbookViewId="0">
      <selection activeCell="O7" sqref="O7"/>
    </sheetView>
  </sheetViews>
  <sheetFormatPr defaultRowHeight="15" x14ac:dyDescent="0.25"/>
  <cols>
    <col min="1" max="1" width="5.5703125" customWidth="1"/>
    <col min="2" max="2" width="2.7109375" customWidth="1"/>
    <col min="6" max="6" width="12.85546875" customWidth="1"/>
    <col min="7" max="7" width="4.28515625" customWidth="1"/>
    <col min="16" max="16" width="13.85546875" customWidth="1"/>
  </cols>
  <sheetData>
    <row r="4" spans="3:16" ht="15.75" thickBot="1" x14ac:dyDescent="0.3"/>
    <row r="5" spans="3:16" ht="15.75" thickTop="1" x14ac:dyDescent="0.25">
      <c r="C5" s="73"/>
      <c r="D5" s="74"/>
      <c r="E5" s="74"/>
      <c r="F5" s="75"/>
      <c r="H5" s="73"/>
      <c r="I5" s="74"/>
      <c r="J5" s="74"/>
      <c r="K5" s="75"/>
    </row>
    <row r="6" spans="3:16" ht="18.75" x14ac:dyDescent="0.3">
      <c r="C6" s="511" t="s">
        <v>215</v>
      </c>
      <c r="D6" s="512"/>
      <c r="E6" s="512"/>
      <c r="F6" s="513"/>
      <c r="H6" s="511" t="s">
        <v>215</v>
      </c>
      <c r="I6" s="512"/>
      <c r="J6" s="512"/>
      <c r="K6" s="513"/>
    </row>
    <row r="7" spans="3:16" ht="18.75" x14ac:dyDescent="0.3">
      <c r="C7" s="511" t="s">
        <v>211</v>
      </c>
      <c r="D7" s="512"/>
      <c r="E7" s="512"/>
      <c r="F7" s="513"/>
      <c r="H7" s="511" t="s">
        <v>213</v>
      </c>
      <c r="I7" s="512"/>
      <c r="J7" s="512"/>
      <c r="K7" s="513"/>
    </row>
    <row r="8" spans="3:16" ht="18.75" x14ac:dyDescent="0.3">
      <c r="C8" s="511" t="s">
        <v>216</v>
      </c>
      <c r="D8" s="512"/>
      <c r="E8" s="512"/>
      <c r="F8" s="513"/>
      <c r="H8" s="511" t="s">
        <v>216</v>
      </c>
      <c r="I8" s="512"/>
      <c r="J8" s="512"/>
      <c r="K8" s="513"/>
    </row>
    <row r="9" spans="3:16" ht="15.75" thickBot="1" x14ac:dyDescent="0.3">
      <c r="C9" s="76"/>
      <c r="D9" s="77"/>
      <c r="E9" s="77"/>
      <c r="F9" s="78"/>
      <c r="H9" s="76"/>
      <c r="I9" s="77"/>
      <c r="J9" s="77"/>
      <c r="K9" s="78"/>
    </row>
    <row r="10" spans="3:16" ht="16.5" thickTop="1" thickBot="1" x14ac:dyDescent="0.3"/>
    <row r="11" spans="3:16" ht="15.75" thickTop="1" x14ac:dyDescent="0.25">
      <c r="C11" s="73"/>
      <c r="D11" s="74"/>
      <c r="E11" s="74"/>
      <c r="F11" s="75"/>
      <c r="H11" s="73"/>
      <c r="I11" s="74"/>
      <c r="J11" s="74"/>
      <c r="K11" s="75"/>
    </row>
    <row r="12" spans="3:16" ht="18.75" x14ac:dyDescent="0.3">
      <c r="C12" s="511" t="s">
        <v>215</v>
      </c>
      <c r="D12" s="512"/>
      <c r="E12" s="512"/>
      <c r="F12" s="513"/>
      <c r="H12" s="511" t="s">
        <v>215</v>
      </c>
      <c r="I12" s="512"/>
      <c r="J12" s="512"/>
      <c r="K12" s="513"/>
      <c r="O12" s="155" t="s">
        <v>341</v>
      </c>
      <c r="P12" s="156" t="e">
        <f>SUM(O12*2%)</f>
        <v>#VALUE!</v>
      </c>
    </row>
    <row r="13" spans="3:16" ht="18.75" x14ac:dyDescent="0.3">
      <c r="C13" s="511" t="s">
        <v>212</v>
      </c>
      <c r="D13" s="512"/>
      <c r="E13" s="512"/>
      <c r="F13" s="513"/>
      <c r="H13" s="511" t="s">
        <v>214</v>
      </c>
      <c r="I13" s="512"/>
      <c r="J13" s="512"/>
      <c r="K13" s="513"/>
      <c r="O13" s="8"/>
    </row>
    <row r="14" spans="3:16" ht="18.75" x14ac:dyDescent="0.3">
      <c r="C14" s="511" t="s">
        <v>217</v>
      </c>
      <c r="D14" s="512"/>
      <c r="E14" s="512"/>
      <c r="F14" s="513"/>
      <c r="H14" s="511" t="s">
        <v>217</v>
      </c>
      <c r="I14" s="512"/>
      <c r="J14" s="512"/>
      <c r="K14" s="513"/>
      <c r="O14" s="8"/>
    </row>
    <row r="15" spans="3:16" ht="15.75" thickBot="1" x14ac:dyDescent="0.3">
      <c r="C15" s="76"/>
      <c r="D15" s="77"/>
      <c r="E15" s="77"/>
      <c r="F15" s="78"/>
      <c r="H15" s="76"/>
      <c r="I15" s="77"/>
      <c r="J15" s="77"/>
      <c r="K15" s="78"/>
      <c r="O15" s="8"/>
    </row>
    <row r="16" spans="3:16" ht="16.5" thickTop="1" thickBot="1" x14ac:dyDescent="0.3"/>
    <row r="17" spans="3:11" ht="15.75" thickTop="1" x14ac:dyDescent="0.25">
      <c r="C17" s="73"/>
      <c r="D17" s="74"/>
      <c r="E17" s="74"/>
      <c r="F17" s="75"/>
      <c r="H17" s="73"/>
      <c r="I17" s="74"/>
      <c r="J17" s="74"/>
      <c r="K17" s="75"/>
    </row>
    <row r="18" spans="3:11" ht="18.75" x14ac:dyDescent="0.3">
      <c r="C18" s="511" t="s">
        <v>215</v>
      </c>
      <c r="D18" s="512"/>
      <c r="E18" s="512"/>
      <c r="F18" s="513"/>
      <c r="H18" s="511" t="s">
        <v>215</v>
      </c>
      <c r="I18" s="512"/>
      <c r="J18" s="512"/>
      <c r="K18" s="513"/>
    </row>
    <row r="19" spans="3:11" ht="18.75" x14ac:dyDescent="0.3">
      <c r="C19" s="511" t="s">
        <v>218</v>
      </c>
      <c r="D19" s="512"/>
      <c r="E19" s="512"/>
      <c r="F19" s="513"/>
      <c r="H19" s="511" t="s">
        <v>188</v>
      </c>
      <c r="I19" s="512"/>
      <c r="J19" s="512"/>
      <c r="K19" s="513"/>
    </row>
    <row r="20" spans="3:11" ht="18.75" x14ac:dyDescent="0.3">
      <c r="C20" s="511" t="s">
        <v>216</v>
      </c>
      <c r="D20" s="512"/>
      <c r="E20" s="512"/>
      <c r="F20" s="513"/>
      <c r="H20" s="511" t="s">
        <v>217</v>
      </c>
      <c r="I20" s="512"/>
      <c r="J20" s="512"/>
      <c r="K20" s="513"/>
    </row>
    <row r="21" spans="3:11" ht="15.75" thickBot="1" x14ac:dyDescent="0.3">
      <c r="C21" s="76"/>
      <c r="D21" s="77"/>
      <c r="E21" s="77"/>
      <c r="F21" s="78"/>
      <c r="H21" s="76"/>
      <c r="I21" s="77"/>
      <c r="J21" s="77"/>
      <c r="K21" s="78"/>
    </row>
    <row r="22" spans="3:11" ht="15.75" thickTop="1" x14ac:dyDescent="0.25"/>
  </sheetData>
  <mergeCells count="18">
    <mergeCell ref="H19:K19"/>
    <mergeCell ref="H20:K20"/>
    <mergeCell ref="C18:F18"/>
    <mergeCell ref="C19:F19"/>
    <mergeCell ref="C20:F20"/>
    <mergeCell ref="H14:K14"/>
    <mergeCell ref="H18:K18"/>
    <mergeCell ref="C6:F6"/>
    <mergeCell ref="C7:F7"/>
    <mergeCell ref="C8:F8"/>
    <mergeCell ref="C12:F12"/>
    <mergeCell ref="C13:F13"/>
    <mergeCell ref="C14:F14"/>
    <mergeCell ref="H6:K6"/>
    <mergeCell ref="H7:K7"/>
    <mergeCell ref="H8:K8"/>
    <mergeCell ref="H12:K12"/>
    <mergeCell ref="H13:K13"/>
  </mergeCells>
  <pageMargins left="0.7" right="0.7" top="0.75" bottom="0.75" header="0.3" footer="0.3"/>
  <pageSetup paperSize="1000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1"/>
  <sheetViews>
    <sheetView topLeftCell="A11" workbookViewId="0">
      <selection activeCell="E7" sqref="E7"/>
    </sheetView>
  </sheetViews>
  <sheetFormatPr defaultRowHeight="15" x14ac:dyDescent="0.25"/>
  <cols>
    <col min="2" max="2" width="23.42578125" style="8" customWidth="1"/>
    <col min="3" max="3" width="35.42578125" customWidth="1"/>
    <col min="4" max="4" width="9.85546875" customWidth="1"/>
    <col min="7" max="7" width="17.140625" customWidth="1"/>
    <col min="8" max="8" width="21.5703125" customWidth="1"/>
    <col min="9" max="9" width="11.85546875" customWidth="1"/>
  </cols>
  <sheetData>
    <row r="1" spans="1:9" x14ac:dyDescent="0.25">
      <c r="A1" s="445" t="s">
        <v>1</v>
      </c>
      <c r="B1" s="357" t="s">
        <v>417</v>
      </c>
      <c r="C1" s="445" t="s">
        <v>416</v>
      </c>
      <c r="D1" s="367" t="s">
        <v>370</v>
      </c>
      <c r="E1" s="446" t="s">
        <v>371</v>
      </c>
      <c r="F1" s="367" t="s">
        <v>372</v>
      </c>
      <c r="G1" s="448" t="s">
        <v>373</v>
      </c>
      <c r="H1" s="448" t="s">
        <v>374</v>
      </c>
      <c r="I1" s="448"/>
    </row>
    <row r="2" spans="1:9" x14ac:dyDescent="0.25">
      <c r="A2" s="445"/>
      <c r="B2" s="358"/>
      <c r="C2" s="445"/>
      <c r="D2" s="368"/>
      <c r="E2" s="447"/>
      <c r="F2" s="368"/>
      <c r="G2" s="449"/>
      <c r="H2" s="449"/>
      <c r="I2" s="449"/>
    </row>
    <row r="3" spans="1:9" x14ac:dyDescent="0.25">
      <c r="A3" s="10">
        <v>1</v>
      </c>
      <c r="B3" s="10"/>
      <c r="C3" s="10">
        <v>2</v>
      </c>
      <c r="D3" s="10"/>
      <c r="E3" s="207">
        <v>4</v>
      </c>
      <c r="F3" s="207">
        <v>5</v>
      </c>
      <c r="G3" s="7">
        <v>6</v>
      </c>
      <c r="H3" s="7" t="s">
        <v>342</v>
      </c>
      <c r="I3" s="7"/>
    </row>
    <row r="4" spans="1:9" x14ac:dyDescent="0.25">
      <c r="A4" s="168"/>
      <c r="B4" s="209"/>
      <c r="C4" s="67"/>
      <c r="D4" s="204"/>
      <c r="E4" s="204"/>
      <c r="F4" s="184"/>
      <c r="G4" s="205"/>
      <c r="H4" s="205"/>
      <c r="I4" s="205"/>
    </row>
    <row r="5" spans="1:9" ht="24.95" customHeight="1" x14ac:dyDescent="0.25">
      <c r="A5" s="10"/>
      <c r="B5" s="10" t="s">
        <v>418</v>
      </c>
      <c r="C5" s="216" t="s">
        <v>376</v>
      </c>
      <c r="D5" s="208">
        <v>14</v>
      </c>
      <c r="E5" s="208">
        <v>12</v>
      </c>
      <c r="F5" s="243">
        <v>1</v>
      </c>
      <c r="G5" s="218">
        <v>1288527</v>
      </c>
      <c r="H5" s="219">
        <f>SUM(G5*F5*E5)</f>
        <v>15462324</v>
      </c>
      <c r="I5" s="213"/>
    </row>
    <row r="6" spans="1:9" ht="24.95" customHeight="1" x14ac:dyDescent="0.25">
      <c r="A6" s="220">
        <v>1</v>
      </c>
      <c r="B6" s="220" t="s">
        <v>419</v>
      </c>
      <c r="C6" s="221" t="s">
        <v>375</v>
      </c>
      <c r="D6" s="208">
        <v>12</v>
      </c>
      <c r="E6" s="208">
        <v>6</v>
      </c>
      <c r="F6" s="223">
        <v>1</v>
      </c>
      <c r="G6" s="222">
        <v>1117734</v>
      </c>
      <c r="H6" s="219">
        <f t="shared" ref="H6" si="0">SUM(G6*F6*E6)</f>
        <v>6706404</v>
      </c>
      <c r="I6" s="214"/>
    </row>
    <row r="7" spans="1:9" ht="24.95" customHeight="1" x14ac:dyDescent="0.25">
      <c r="A7" s="220">
        <v>2</v>
      </c>
      <c r="B7" s="220" t="s">
        <v>381</v>
      </c>
      <c r="C7" s="221" t="s">
        <v>375</v>
      </c>
      <c r="D7" s="206">
        <v>11</v>
      </c>
      <c r="E7" s="206">
        <v>12</v>
      </c>
      <c r="F7" s="223">
        <v>3</v>
      </c>
      <c r="G7" s="222">
        <v>966432</v>
      </c>
      <c r="H7" s="219">
        <f t="shared" ref="H7:H10" si="1">SUM(G7*F7*E7)</f>
        <v>34791552</v>
      </c>
      <c r="I7" s="214"/>
    </row>
    <row r="8" spans="1:9" s="8" customFormat="1" ht="24.95" customHeight="1" x14ac:dyDescent="0.25">
      <c r="A8" s="224"/>
      <c r="B8" s="217" t="s">
        <v>278</v>
      </c>
      <c r="C8" s="221" t="s">
        <v>377</v>
      </c>
      <c r="D8" s="206">
        <v>9</v>
      </c>
      <c r="E8" s="206">
        <v>12</v>
      </c>
      <c r="F8" s="223">
        <v>1</v>
      </c>
      <c r="G8" s="225">
        <v>621537</v>
      </c>
      <c r="H8" s="219">
        <f t="shared" si="1"/>
        <v>7458444</v>
      </c>
      <c r="I8" s="213"/>
    </row>
    <row r="9" spans="1:9" s="8" customFormat="1" ht="24.95" customHeight="1" x14ac:dyDescent="0.25">
      <c r="A9" s="224"/>
      <c r="B9" s="217" t="s">
        <v>380</v>
      </c>
      <c r="C9" s="221" t="s">
        <v>377</v>
      </c>
      <c r="D9" s="206">
        <v>8</v>
      </c>
      <c r="E9" s="206">
        <v>12</v>
      </c>
      <c r="F9" s="223">
        <v>1</v>
      </c>
      <c r="G9" s="225">
        <v>499537</v>
      </c>
      <c r="H9" s="219">
        <f t="shared" si="1"/>
        <v>5994444</v>
      </c>
      <c r="I9" s="213"/>
    </row>
    <row r="10" spans="1:9" s="8" customFormat="1" ht="24.95" customHeight="1" x14ac:dyDescent="0.25">
      <c r="A10" s="224"/>
      <c r="B10" s="217" t="s">
        <v>382</v>
      </c>
      <c r="C10" s="221" t="s">
        <v>378</v>
      </c>
      <c r="D10" s="206">
        <v>12</v>
      </c>
      <c r="E10" s="206">
        <v>12</v>
      </c>
      <c r="F10" s="223">
        <v>1</v>
      </c>
      <c r="G10" s="222">
        <v>1117734</v>
      </c>
      <c r="H10" s="219">
        <f t="shared" si="1"/>
        <v>13412808</v>
      </c>
      <c r="I10" s="213"/>
    </row>
    <row r="11" spans="1:9" s="8" customFormat="1" ht="24.95" customHeight="1" x14ac:dyDescent="0.25">
      <c r="A11" s="224"/>
      <c r="B11" s="217" t="s">
        <v>277</v>
      </c>
      <c r="C11" s="221" t="s">
        <v>378</v>
      </c>
      <c r="D11" s="206">
        <v>10</v>
      </c>
      <c r="E11" s="206">
        <v>4</v>
      </c>
      <c r="F11" s="223">
        <v>2</v>
      </c>
      <c r="G11" s="222">
        <v>620474</v>
      </c>
      <c r="H11" s="219">
        <f t="shared" ref="H11:H44" si="2">SUM(G11*F11*E11)</f>
        <v>4963792</v>
      </c>
      <c r="I11" s="213"/>
    </row>
    <row r="12" spans="1:9" s="8" customFormat="1" ht="24.95" customHeight="1" x14ac:dyDescent="0.25">
      <c r="A12" s="224"/>
      <c r="B12" s="217" t="s">
        <v>382</v>
      </c>
      <c r="C12" s="221" t="s">
        <v>378</v>
      </c>
      <c r="D12" s="206">
        <v>12</v>
      </c>
      <c r="E12" s="206">
        <v>8</v>
      </c>
      <c r="F12" s="223">
        <v>2</v>
      </c>
      <c r="G12" s="222">
        <v>1117734</v>
      </c>
      <c r="H12" s="219">
        <f t="shared" si="2"/>
        <v>17883744</v>
      </c>
      <c r="I12" s="213"/>
    </row>
    <row r="13" spans="1:9" s="8" customFormat="1" ht="24.95" customHeight="1" x14ac:dyDescent="0.25">
      <c r="A13" s="224"/>
      <c r="B13" s="226" t="s">
        <v>384</v>
      </c>
      <c r="C13" s="221" t="s">
        <v>383</v>
      </c>
      <c r="D13" s="206">
        <v>6</v>
      </c>
      <c r="E13" s="206">
        <v>12</v>
      </c>
      <c r="F13" s="223">
        <v>4</v>
      </c>
      <c r="G13" s="222">
        <v>382735</v>
      </c>
      <c r="H13" s="219">
        <f t="shared" ref="H13:H15" si="3">SUM(G13*F13*E13)</f>
        <v>18371280</v>
      </c>
      <c r="I13" s="213"/>
    </row>
    <row r="14" spans="1:9" s="8" customFormat="1" ht="24.95" customHeight="1" x14ac:dyDescent="0.25">
      <c r="A14" s="224"/>
      <c r="B14" s="217"/>
      <c r="C14" s="221" t="s">
        <v>383</v>
      </c>
      <c r="D14" s="206">
        <v>5</v>
      </c>
      <c r="E14" s="206">
        <v>12</v>
      </c>
      <c r="F14" s="223">
        <v>1</v>
      </c>
      <c r="G14" s="222">
        <v>319202</v>
      </c>
      <c r="H14" s="219">
        <f t="shared" si="3"/>
        <v>3830424</v>
      </c>
      <c r="I14" s="213"/>
    </row>
    <row r="15" spans="1:9" s="8" customFormat="1" ht="24.95" customHeight="1" x14ac:dyDescent="0.25">
      <c r="A15" s="224"/>
      <c r="B15" s="226" t="s">
        <v>385</v>
      </c>
      <c r="C15" s="221" t="s">
        <v>383</v>
      </c>
      <c r="D15" s="206">
        <v>7</v>
      </c>
      <c r="E15" s="206">
        <v>12</v>
      </c>
      <c r="F15" s="223">
        <v>2</v>
      </c>
      <c r="G15" s="222">
        <v>440438</v>
      </c>
      <c r="H15" s="219">
        <f t="shared" si="3"/>
        <v>10570512</v>
      </c>
      <c r="I15" s="213" t="s">
        <v>402</v>
      </c>
    </row>
    <row r="16" spans="1:9" s="8" customFormat="1" ht="24.95" customHeight="1" x14ac:dyDescent="0.25">
      <c r="A16" s="224"/>
      <c r="B16" s="217"/>
      <c r="C16" s="221" t="s">
        <v>383</v>
      </c>
      <c r="D16" s="231">
        <v>7</v>
      </c>
      <c r="E16" s="231">
        <v>4</v>
      </c>
      <c r="F16" s="232">
        <v>1</v>
      </c>
      <c r="G16" s="233">
        <v>440438</v>
      </c>
      <c r="H16" s="234">
        <f t="shared" ref="H16" si="4">SUM(G16*F16*E16)</f>
        <v>1761752</v>
      </c>
      <c r="I16" s="213" t="s">
        <v>405</v>
      </c>
    </row>
    <row r="17" spans="1:9" s="8" customFormat="1" ht="24.95" customHeight="1" x14ac:dyDescent="0.25">
      <c r="A17" s="224"/>
      <c r="B17" s="217" t="s">
        <v>386</v>
      </c>
      <c r="C17" s="221" t="s">
        <v>378</v>
      </c>
      <c r="D17" s="231">
        <v>8</v>
      </c>
      <c r="E17" s="231">
        <v>8</v>
      </c>
      <c r="F17" s="232">
        <v>1</v>
      </c>
      <c r="G17" s="235">
        <v>499535</v>
      </c>
      <c r="H17" s="234">
        <f t="shared" ref="H17:H19" si="5">SUM(G17*F17*E17)</f>
        <v>3996280</v>
      </c>
    </row>
    <row r="18" spans="1:9" s="8" customFormat="1" ht="24.95" customHeight="1" x14ac:dyDescent="0.25">
      <c r="A18" s="224"/>
      <c r="B18" s="217"/>
      <c r="C18" s="221" t="s">
        <v>383</v>
      </c>
      <c r="D18" s="231">
        <v>6</v>
      </c>
      <c r="E18" s="231">
        <v>4</v>
      </c>
      <c r="F18" s="232">
        <v>1</v>
      </c>
      <c r="G18" s="233">
        <v>382735</v>
      </c>
      <c r="H18" s="234">
        <f t="shared" si="5"/>
        <v>1530940</v>
      </c>
      <c r="I18" s="8" t="s">
        <v>403</v>
      </c>
    </row>
    <row r="19" spans="1:9" s="8" customFormat="1" ht="24.95" customHeight="1" x14ac:dyDescent="0.25">
      <c r="A19" s="224"/>
      <c r="B19" s="217" t="s">
        <v>277</v>
      </c>
      <c r="C19" s="221" t="s">
        <v>378</v>
      </c>
      <c r="D19" s="231">
        <v>10</v>
      </c>
      <c r="E19" s="231">
        <v>8</v>
      </c>
      <c r="F19" s="232">
        <v>1</v>
      </c>
      <c r="G19" s="233">
        <v>620474</v>
      </c>
      <c r="H19" s="234">
        <f t="shared" si="5"/>
        <v>4963792</v>
      </c>
    </row>
    <row r="20" spans="1:9" s="8" customFormat="1" ht="24.95" customHeight="1" x14ac:dyDescent="0.25">
      <c r="A20" s="224"/>
      <c r="B20" s="217"/>
      <c r="C20" s="221" t="s">
        <v>383</v>
      </c>
      <c r="D20" s="231">
        <v>6</v>
      </c>
      <c r="E20" s="231">
        <v>4</v>
      </c>
      <c r="F20" s="232">
        <v>1</v>
      </c>
      <c r="G20" s="233">
        <v>382735</v>
      </c>
      <c r="H20" s="234">
        <f t="shared" ref="H20:H23" si="6">SUM(G20*F20*E20)</f>
        <v>1530940</v>
      </c>
      <c r="I20" s="8" t="s">
        <v>404</v>
      </c>
    </row>
    <row r="21" spans="1:9" s="8" customFormat="1" ht="24.95" customHeight="1" x14ac:dyDescent="0.25">
      <c r="A21" s="224"/>
      <c r="B21" s="217" t="s">
        <v>387</v>
      </c>
      <c r="C21" s="221" t="s">
        <v>378</v>
      </c>
      <c r="D21" s="231">
        <v>6</v>
      </c>
      <c r="E21" s="231">
        <v>8</v>
      </c>
      <c r="F21" s="232">
        <v>1</v>
      </c>
      <c r="G21" s="233">
        <v>382735</v>
      </c>
      <c r="H21" s="234">
        <f t="shared" si="6"/>
        <v>3061880</v>
      </c>
    </row>
    <row r="22" spans="1:9" s="8" customFormat="1" ht="24.95" customHeight="1" x14ac:dyDescent="0.25">
      <c r="A22" s="224"/>
      <c r="B22" s="217"/>
      <c r="C22" s="221" t="s">
        <v>383</v>
      </c>
      <c r="D22" s="206">
        <v>6</v>
      </c>
      <c r="E22" s="206">
        <v>12</v>
      </c>
      <c r="F22" s="223">
        <v>1</v>
      </c>
      <c r="G22" s="222">
        <v>382735</v>
      </c>
      <c r="H22" s="219">
        <f t="shared" si="6"/>
        <v>4592820</v>
      </c>
      <c r="I22" s="8" t="s">
        <v>406</v>
      </c>
    </row>
    <row r="23" spans="1:9" s="8" customFormat="1" ht="24.95" customHeight="1" x14ac:dyDescent="0.25">
      <c r="A23" s="224"/>
      <c r="B23" s="226" t="s">
        <v>388</v>
      </c>
      <c r="C23" s="221" t="s">
        <v>383</v>
      </c>
      <c r="D23" s="206">
        <v>7</v>
      </c>
      <c r="E23" s="206">
        <v>12</v>
      </c>
      <c r="F23" s="223">
        <v>3</v>
      </c>
      <c r="G23" s="222">
        <v>440438</v>
      </c>
      <c r="H23" s="219">
        <f t="shared" si="6"/>
        <v>15855768</v>
      </c>
      <c r="I23" s="8" t="s">
        <v>415</v>
      </c>
    </row>
    <row r="24" spans="1:9" s="8" customFormat="1" ht="24.95" customHeight="1" x14ac:dyDescent="0.25">
      <c r="A24" s="224"/>
      <c r="B24" s="226"/>
      <c r="C24" s="221" t="s">
        <v>383</v>
      </c>
      <c r="D24" s="231">
        <v>7</v>
      </c>
      <c r="E24" s="231">
        <v>4</v>
      </c>
      <c r="F24" s="232">
        <v>1</v>
      </c>
      <c r="G24" s="233">
        <v>440438</v>
      </c>
      <c r="H24" s="234">
        <f t="shared" ref="H24:H26" si="7">SUM(G24*F24*E24)</f>
        <v>1761752</v>
      </c>
      <c r="I24" s="210" t="s">
        <v>389</v>
      </c>
    </row>
    <row r="25" spans="1:9" s="8" customFormat="1" ht="24.95" customHeight="1" x14ac:dyDescent="0.25">
      <c r="A25" s="224"/>
      <c r="B25" s="226"/>
      <c r="C25" s="221" t="s">
        <v>378</v>
      </c>
      <c r="D25" s="231">
        <v>8</v>
      </c>
      <c r="E25" s="231">
        <v>8</v>
      </c>
      <c r="F25" s="232">
        <v>1</v>
      </c>
      <c r="G25" s="235">
        <v>499535</v>
      </c>
      <c r="H25" s="234">
        <f t="shared" si="7"/>
        <v>3996280</v>
      </c>
      <c r="I25" s="210"/>
    </row>
    <row r="26" spans="1:9" s="8" customFormat="1" ht="24.95" customHeight="1" x14ac:dyDescent="0.25">
      <c r="A26" s="224"/>
      <c r="B26" s="226"/>
      <c r="C26" s="221" t="s">
        <v>383</v>
      </c>
      <c r="D26" s="231">
        <v>6</v>
      </c>
      <c r="E26" s="231">
        <v>4</v>
      </c>
      <c r="F26" s="232">
        <v>1</v>
      </c>
      <c r="G26" s="233">
        <v>382735</v>
      </c>
      <c r="H26" s="234">
        <f t="shared" si="7"/>
        <v>1530940</v>
      </c>
      <c r="I26" s="210" t="s">
        <v>390</v>
      </c>
    </row>
    <row r="27" spans="1:9" s="8" customFormat="1" ht="24.95" customHeight="1" x14ac:dyDescent="0.25">
      <c r="A27" s="224"/>
      <c r="B27" s="226"/>
      <c r="C27" s="221" t="s">
        <v>378</v>
      </c>
      <c r="D27" s="231">
        <v>10</v>
      </c>
      <c r="E27" s="231">
        <v>8</v>
      </c>
      <c r="F27" s="232">
        <v>1</v>
      </c>
      <c r="G27" s="233">
        <v>620474</v>
      </c>
      <c r="H27" s="234">
        <f t="shared" ref="H27:H30" si="8">SUM(G27*F27*E27)</f>
        <v>4963792</v>
      </c>
    </row>
    <row r="28" spans="1:9" s="8" customFormat="1" ht="24.95" customHeight="1" x14ac:dyDescent="0.25">
      <c r="A28" s="224"/>
      <c r="B28" s="226"/>
      <c r="C28" s="221" t="s">
        <v>383</v>
      </c>
      <c r="D28" s="231">
        <v>6</v>
      </c>
      <c r="E28" s="231">
        <v>4</v>
      </c>
      <c r="F28" s="232">
        <v>1</v>
      </c>
      <c r="G28" s="233">
        <v>382735</v>
      </c>
      <c r="H28" s="234">
        <f t="shared" si="8"/>
        <v>1530940</v>
      </c>
      <c r="I28" s="8" t="s">
        <v>395</v>
      </c>
    </row>
    <row r="29" spans="1:9" s="8" customFormat="1" ht="24.95" customHeight="1" x14ac:dyDescent="0.25">
      <c r="A29" s="224"/>
      <c r="B29" s="226"/>
      <c r="C29" s="221" t="s">
        <v>414</v>
      </c>
      <c r="D29" s="231">
        <v>6</v>
      </c>
      <c r="E29" s="231">
        <v>8</v>
      </c>
      <c r="F29" s="232">
        <v>1</v>
      </c>
      <c r="G29" s="233">
        <v>382735</v>
      </c>
      <c r="H29" s="234">
        <f t="shared" ref="H29" si="9">SUM(G29*F29*E29)</f>
        <v>3061880</v>
      </c>
    </row>
    <row r="30" spans="1:9" s="8" customFormat="1" ht="24.95" customHeight="1" x14ac:dyDescent="0.25">
      <c r="A30" s="224"/>
      <c r="B30" s="226"/>
      <c r="C30" s="221" t="s">
        <v>378</v>
      </c>
      <c r="D30" s="206">
        <v>6</v>
      </c>
      <c r="E30" s="206">
        <v>12</v>
      </c>
      <c r="F30" s="223">
        <v>1</v>
      </c>
      <c r="G30" s="222">
        <v>382735</v>
      </c>
      <c r="H30" s="219">
        <f t="shared" si="8"/>
        <v>4592820</v>
      </c>
      <c r="I30" s="8" t="s">
        <v>391</v>
      </c>
    </row>
    <row r="31" spans="1:9" s="8" customFormat="1" ht="24.95" customHeight="1" x14ac:dyDescent="0.25">
      <c r="A31" s="224"/>
      <c r="B31" s="226" t="s">
        <v>392</v>
      </c>
      <c r="C31" s="221" t="s">
        <v>383</v>
      </c>
      <c r="D31" s="231">
        <v>7</v>
      </c>
      <c r="E31" s="231">
        <v>4</v>
      </c>
      <c r="F31" s="232">
        <v>1</v>
      </c>
      <c r="G31" s="233">
        <v>440438</v>
      </c>
      <c r="H31" s="234">
        <f t="shared" ref="H31:H33" si="10">SUM(G31*F31*E31)</f>
        <v>1761752</v>
      </c>
      <c r="I31" s="8" t="s">
        <v>393</v>
      </c>
    </row>
    <row r="32" spans="1:9" s="8" customFormat="1" ht="24.95" customHeight="1" x14ac:dyDescent="0.25">
      <c r="A32" s="224"/>
      <c r="B32" s="226"/>
      <c r="C32" s="221" t="s">
        <v>378</v>
      </c>
      <c r="D32" s="231">
        <v>10</v>
      </c>
      <c r="E32" s="231">
        <v>8</v>
      </c>
      <c r="F32" s="232">
        <v>1</v>
      </c>
      <c r="G32" s="233">
        <v>620474</v>
      </c>
      <c r="H32" s="234">
        <f t="shared" si="10"/>
        <v>4963792</v>
      </c>
    </row>
    <row r="33" spans="1:9" s="8" customFormat="1" ht="24.95" customHeight="1" x14ac:dyDescent="0.25">
      <c r="A33" s="224"/>
      <c r="B33" s="226"/>
      <c r="C33" s="221" t="s">
        <v>383</v>
      </c>
      <c r="D33" s="206">
        <v>6</v>
      </c>
      <c r="E33" s="206">
        <v>12</v>
      </c>
      <c r="F33" s="223">
        <v>2</v>
      </c>
      <c r="G33" s="222">
        <v>382735</v>
      </c>
      <c r="H33" s="219">
        <f t="shared" si="10"/>
        <v>9185640</v>
      </c>
      <c r="I33" s="8" t="s">
        <v>396</v>
      </c>
    </row>
    <row r="34" spans="1:9" s="8" customFormat="1" ht="24.95" customHeight="1" x14ac:dyDescent="0.25">
      <c r="A34" s="224"/>
      <c r="B34" s="226"/>
      <c r="C34" s="221" t="s">
        <v>383</v>
      </c>
      <c r="D34" s="231">
        <v>6</v>
      </c>
      <c r="E34" s="231">
        <v>4</v>
      </c>
      <c r="F34" s="232">
        <v>1</v>
      </c>
      <c r="G34" s="233">
        <v>382735</v>
      </c>
      <c r="H34" s="234">
        <f t="shared" ref="H34:H38" si="11">SUM(G34*F34*E34)</f>
        <v>1530940</v>
      </c>
      <c r="I34" s="8" t="s">
        <v>394</v>
      </c>
    </row>
    <row r="35" spans="1:9" s="8" customFormat="1" ht="24.95" customHeight="1" x14ac:dyDescent="0.25">
      <c r="A35" s="224"/>
      <c r="B35" s="226"/>
      <c r="C35" s="221" t="s">
        <v>378</v>
      </c>
      <c r="D35" s="231">
        <v>8</v>
      </c>
      <c r="E35" s="231">
        <v>8</v>
      </c>
      <c r="F35" s="232">
        <v>1</v>
      </c>
      <c r="G35" s="235">
        <v>499535</v>
      </c>
      <c r="H35" s="234">
        <f t="shared" si="11"/>
        <v>3996280</v>
      </c>
    </row>
    <row r="36" spans="1:9" s="8" customFormat="1" ht="24.95" customHeight="1" x14ac:dyDescent="0.25">
      <c r="A36" s="224"/>
      <c r="B36" s="226"/>
      <c r="C36" s="221" t="s">
        <v>383</v>
      </c>
      <c r="D36" s="206">
        <v>5</v>
      </c>
      <c r="E36" s="206">
        <v>12</v>
      </c>
      <c r="F36" s="223">
        <v>1</v>
      </c>
      <c r="G36" s="222">
        <v>319202</v>
      </c>
      <c r="H36" s="219">
        <f t="shared" si="11"/>
        <v>3830424</v>
      </c>
      <c r="I36" s="8" t="s">
        <v>397</v>
      </c>
    </row>
    <row r="37" spans="1:9" s="8" customFormat="1" ht="24.95" customHeight="1" x14ac:dyDescent="0.25">
      <c r="A37" s="224"/>
      <c r="B37" s="226" t="s">
        <v>398</v>
      </c>
      <c r="C37" s="221" t="s">
        <v>383</v>
      </c>
      <c r="D37" s="231">
        <v>7</v>
      </c>
      <c r="E37" s="231">
        <v>4</v>
      </c>
      <c r="F37" s="232">
        <v>1</v>
      </c>
      <c r="G37" s="233">
        <v>440438</v>
      </c>
      <c r="H37" s="234">
        <f t="shared" ref="H37" si="12">SUM(G37*F37*E37)</f>
        <v>1761752</v>
      </c>
      <c r="I37" s="8" t="s">
        <v>413</v>
      </c>
    </row>
    <row r="38" spans="1:9" s="8" customFormat="1" ht="24.95" customHeight="1" x14ac:dyDescent="0.25">
      <c r="A38" s="224"/>
      <c r="B38" s="226"/>
      <c r="C38" s="221" t="s">
        <v>378</v>
      </c>
      <c r="D38" s="231">
        <v>10</v>
      </c>
      <c r="E38" s="231">
        <v>8</v>
      </c>
      <c r="F38" s="232">
        <v>1</v>
      </c>
      <c r="G38" s="233">
        <v>620474</v>
      </c>
      <c r="H38" s="234">
        <f t="shared" si="11"/>
        <v>4963792</v>
      </c>
    </row>
    <row r="39" spans="1:9" s="8" customFormat="1" ht="24.95" customHeight="1" x14ac:dyDescent="0.25">
      <c r="A39" s="224"/>
      <c r="B39" s="226"/>
      <c r="C39" s="221" t="s">
        <v>383</v>
      </c>
      <c r="D39" s="231">
        <v>7</v>
      </c>
      <c r="E39" s="231">
        <v>4</v>
      </c>
      <c r="F39" s="232">
        <v>1</v>
      </c>
      <c r="G39" s="233">
        <v>440438</v>
      </c>
      <c r="H39" s="234">
        <f t="shared" ref="H39:H40" si="13">SUM(G39*F39*E39)</f>
        <v>1761752</v>
      </c>
      <c r="I39" s="8" t="s">
        <v>399</v>
      </c>
    </row>
    <row r="40" spans="1:9" s="8" customFormat="1" ht="24.95" customHeight="1" x14ac:dyDescent="0.25">
      <c r="A40" s="224"/>
      <c r="B40" s="226"/>
      <c r="C40" s="221" t="s">
        <v>378</v>
      </c>
      <c r="D40" s="231">
        <v>8</v>
      </c>
      <c r="E40" s="231">
        <v>8</v>
      </c>
      <c r="F40" s="232">
        <v>1</v>
      </c>
      <c r="G40" s="235">
        <v>499535</v>
      </c>
      <c r="H40" s="234">
        <f t="shared" si="13"/>
        <v>3996280</v>
      </c>
    </row>
    <row r="41" spans="1:9" s="8" customFormat="1" ht="24.95" customHeight="1" x14ac:dyDescent="0.25">
      <c r="A41" s="224"/>
      <c r="B41" s="226"/>
      <c r="C41" s="221" t="s">
        <v>383</v>
      </c>
      <c r="D41" s="206">
        <v>7</v>
      </c>
      <c r="E41" s="206">
        <v>12</v>
      </c>
      <c r="F41" s="223">
        <v>2</v>
      </c>
      <c r="G41" s="222">
        <v>440438</v>
      </c>
      <c r="H41" s="219">
        <f>SUM(G41*F41*E41)</f>
        <v>10570512</v>
      </c>
      <c r="I41" s="211" t="s">
        <v>400</v>
      </c>
    </row>
    <row r="42" spans="1:9" s="8" customFormat="1" ht="24.95" customHeight="1" x14ac:dyDescent="0.25">
      <c r="A42" s="224"/>
      <c r="B42" s="226"/>
      <c r="C42" s="221" t="s">
        <v>383</v>
      </c>
      <c r="D42" s="206">
        <v>6</v>
      </c>
      <c r="E42" s="206">
        <v>12</v>
      </c>
      <c r="F42" s="223">
        <v>1</v>
      </c>
      <c r="G42" s="222">
        <v>382735</v>
      </c>
      <c r="H42" s="219">
        <f t="shared" ref="H42" si="14">SUM(G42*F42*E42)</f>
        <v>4592820</v>
      </c>
      <c r="I42" s="211" t="s">
        <v>401</v>
      </c>
    </row>
    <row r="43" spans="1:9" s="8" customFormat="1" ht="24.95" customHeight="1" x14ac:dyDescent="0.25">
      <c r="A43" s="224"/>
      <c r="B43" s="226"/>
      <c r="C43" s="221"/>
      <c r="D43" s="206"/>
      <c r="E43" s="206"/>
      <c r="F43" s="223"/>
      <c r="G43" s="222"/>
      <c r="H43" s="228">
        <f>SUM(H5:H42)</f>
        <v>251094040</v>
      </c>
      <c r="I43" s="212" t="s">
        <v>407</v>
      </c>
    </row>
    <row r="44" spans="1:9" s="8" customFormat="1" ht="24.95" customHeight="1" x14ac:dyDescent="0.25">
      <c r="A44" s="224"/>
      <c r="B44" s="217" t="s">
        <v>354</v>
      </c>
      <c r="C44" s="221" t="s">
        <v>379</v>
      </c>
      <c r="D44" s="206">
        <v>8</v>
      </c>
      <c r="E44" s="206">
        <v>12</v>
      </c>
      <c r="F44" s="223">
        <v>6</v>
      </c>
      <c r="G44" s="227">
        <v>499535</v>
      </c>
      <c r="H44" s="219">
        <f t="shared" si="2"/>
        <v>35966520</v>
      </c>
      <c r="I44" s="213"/>
    </row>
    <row r="45" spans="1:9" s="8" customFormat="1" ht="24.95" customHeight="1" x14ac:dyDescent="0.25">
      <c r="A45" s="224"/>
      <c r="B45" s="229" t="s">
        <v>359</v>
      </c>
      <c r="C45" s="221" t="s">
        <v>379</v>
      </c>
      <c r="D45" s="206">
        <v>8</v>
      </c>
      <c r="E45" s="206">
        <v>12</v>
      </c>
      <c r="F45" s="223">
        <v>6</v>
      </c>
      <c r="G45" s="227">
        <v>499535</v>
      </c>
      <c r="H45" s="219">
        <f t="shared" ref="H45" si="15">SUM(G45*F45*E45)</f>
        <v>35966520</v>
      </c>
      <c r="I45" s="213"/>
    </row>
    <row r="46" spans="1:9" s="8" customFormat="1" ht="24.95" customHeight="1" x14ac:dyDescent="0.25">
      <c r="A46" s="224"/>
      <c r="B46" s="217" t="s">
        <v>361</v>
      </c>
      <c r="C46" s="221" t="s">
        <v>379</v>
      </c>
      <c r="D46" s="206">
        <v>1</v>
      </c>
      <c r="E46" s="206">
        <v>12</v>
      </c>
      <c r="F46" s="223">
        <v>6</v>
      </c>
      <c r="G46" s="227">
        <v>499535</v>
      </c>
      <c r="H46" s="219">
        <f t="shared" ref="H46" si="16">SUM(G46*F46*E46)</f>
        <v>35966520</v>
      </c>
      <c r="I46" s="213"/>
    </row>
    <row r="47" spans="1:9" s="8" customFormat="1" ht="24.95" customHeight="1" x14ac:dyDescent="0.25">
      <c r="A47" s="224"/>
      <c r="B47" s="217"/>
      <c r="C47" s="221"/>
      <c r="D47" s="206"/>
      <c r="E47" s="206"/>
      <c r="F47" s="223"/>
      <c r="G47" s="227"/>
      <c r="H47" s="228">
        <f>SUM(H44:H46)</f>
        <v>107899560</v>
      </c>
      <c r="I47" s="215" t="s">
        <v>408</v>
      </c>
    </row>
    <row r="48" spans="1:9" s="8" customFormat="1" ht="24.95" customHeight="1" x14ac:dyDescent="0.25">
      <c r="A48" s="224"/>
      <c r="B48" s="226" t="s">
        <v>409</v>
      </c>
      <c r="C48" s="221" t="s">
        <v>410</v>
      </c>
      <c r="D48" s="206">
        <v>8</v>
      </c>
      <c r="E48" s="206">
        <v>12</v>
      </c>
      <c r="F48" s="223">
        <v>1</v>
      </c>
      <c r="G48" s="227">
        <v>286661</v>
      </c>
      <c r="H48" s="219">
        <f t="shared" ref="H48:H49" si="17">SUM(G48*F48*E48)</f>
        <v>3439932</v>
      </c>
      <c r="I48" s="215"/>
    </row>
    <row r="49" spans="1:9" s="8" customFormat="1" ht="24.95" customHeight="1" x14ac:dyDescent="0.25">
      <c r="A49" s="224"/>
      <c r="B49" s="226" t="s">
        <v>409</v>
      </c>
      <c r="C49" s="221" t="s">
        <v>411</v>
      </c>
      <c r="D49" s="206">
        <v>5</v>
      </c>
      <c r="E49" s="206">
        <v>12</v>
      </c>
      <c r="F49" s="223">
        <v>1</v>
      </c>
      <c r="G49" s="222">
        <v>183169</v>
      </c>
      <c r="H49" s="219">
        <f t="shared" si="17"/>
        <v>2198028</v>
      </c>
      <c r="I49" s="215" t="s">
        <v>420</v>
      </c>
    </row>
    <row r="50" spans="1:9" x14ac:dyDescent="0.25">
      <c r="H50" s="29">
        <f>SUM(H48:H49)</f>
        <v>5637960</v>
      </c>
    </row>
    <row r="51" spans="1:9" x14ac:dyDescent="0.25">
      <c r="B51" s="514" t="s">
        <v>412</v>
      </c>
      <c r="C51" s="514"/>
      <c r="D51" s="514"/>
      <c r="E51" s="514"/>
      <c r="F51" s="514"/>
      <c r="G51" s="514"/>
      <c r="H51" s="230">
        <f>SUM(H43+H47+H50)</f>
        <v>364631560</v>
      </c>
    </row>
  </sheetData>
  <mergeCells count="10">
    <mergeCell ref="B51:G51"/>
    <mergeCell ref="I1:I2"/>
    <mergeCell ref="A1:A2"/>
    <mergeCell ref="C1:C2"/>
    <mergeCell ref="D1:D2"/>
    <mergeCell ref="E1:E2"/>
    <mergeCell ref="F1:F2"/>
    <mergeCell ref="H1:H2"/>
    <mergeCell ref="G1:G2"/>
    <mergeCell ref="B1:B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E3EE-9103-4576-9FF9-0CD383C20942}">
  <dimension ref="A1:K55"/>
  <sheetViews>
    <sheetView topLeftCell="A19" workbookViewId="0">
      <selection activeCell="A14" sqref="A14"/>
    </sheetView>
  </sheetViews>
  <sheetFormatPr defaultRowHeight="15" x14ac:dyDescent="0.25"/>
  <cols>
    <col min="1" max="1" width="23.7109375" style="8" customWidth="1"/>
    <col min="2" max="2" width="37.140625" customWidth="1"/>
    <col min="3" max="3" width="16.5703125" customWidth="1"/>
    <col min="4" max="4" width="14.28515625" customWidth="1"/>
    <col min="8" max="9" width="11.5703125" bestFit="1" customWidth="1"/>
    <col min="10" max="10" width="17.28515625" customWidth="1"/>
    <col min="11" max="11" width="13.28515625" bestFit="1" customWidth="1"/>
  </cols>
  <sheetData>
    <row r="1" spans="1:4" ht="15" customHeight="1" x14ac:dyDescent="0.25">
      <c r="B1" s="325" t="s">
        <v>471</v>
      </c>
      <c r="C1" s="198" t="s">
        <v>27</v>
      </c>
    </row>
    <row r="2" spans="1:4" ht="15" customHeight="1" x14ac:dyDescent="0.25">
      <c r="A2" s="327" t="s">
        <v>472</v>
      </c>
      <c r="B2" s="319" t="s">
        <v>31</v>
      </c>
      <c r="C2" s="320">
        <v>870838</v>
      </c>
      <c r="D2" s="328">
        <v>5805587</v>
      </c>
    </row>
    <row r="3" spans="1:4" ht="15" customHeight="1" x14ac:dyDescent="0.25">
      <c r="A3" s="329" t="s">
        <v>473</v>
      </c>
      <c r="B3" s="321" t="s">
        <v>136</v>
      </c>
      <c r="C3" s="227">
        <v>569755</v>
      </c>
      <c r="D3" s="328">
        <v>3798368</v>
      </c>
    </row>
    <row r="4" spans="1:4" ht="15" customHeight="1" x14ac:dyDescent="0.25">
      <c r="A4" s="330" t="s">
        <v>474</v>
      </c>
      <c r="B4" s="322" t="s">
        <v>244</v>
      </c>
      <c r="C4" s="227">
        <v>573486</v>
      </c>
      <c r="D4" s="328">
        <v>3823244</v>
      </c>
    </row>
    <row r="5" spans="1:4" ht="15" customHeight="1" x14ac:dyDescent="0.25">
      <c r="A5" s="318" t="s">
        <v>475</v>
      </c>
      <c r="B5" s="322" t="s">
        <v>348</v>
      </c>
      <c r="C5" s="227">
        <v>571764</v>
      </c>
      <c r="D5" s="328">
        <v>3811763</v>
      </c>
    </row>
    <row r="6" spans="1:4" ht="15" customHeight="1" x14ac:dyDescent="0.25">
      <c r="A6" s="329" t="s">
        <v>476</v>
      </c>
      <c r="B6" s="321" t="s">
        <v>33</v>
      </c>
      <c r="C6" s="227">
        <v>123064</v>
      </c>
      <c r="D6" s="328">
        <v>2461287</v>
      </c>
    </row>
    <row r="7" spans="1:4" ht="15" customHeight="1" x14ac:dyDescent="0.25">
      <c r="A7" s="330" t="s">
        <v>477</v>
      </c>
      <c r="B7" s="321" t="s">
        <v>59</v>
      </c>
      <c r="C7" s="227">
        <v>97869</v>
      </c>
      <c r="D7" s="328">
        <v>1957388</v>
      </c>
    </row>
    <row r="8" spans="1:4" ht="15" customHeight="1" x14ac:dyDescent="0.25">
      <c r="A8" s="329" t="s">
        <v>478</v>
      </c>
      <c r="B8" s="321" t="s">
        <v>32</v>
      </c>
      <c r="C8" s="227">
        <v>122608</v>
      </c>
      <c r="D8" s="328">
        <v>2452163</v>
      </c>
    </row>
    <row r="9" spans="1:4" ht="15" customHeight="1" x14ac:dyDescent="0.25">
      <c r="A9" s="329" t="s">
        <v>479</v>
      </c>
      <c r="B9" s="321" t="s">
        <v>34</v>
      </c>
      <c r="C9" s="227">
        <v>442623</v>
      </c>
      <c r="D9" s="328">
        <v>4426227</v>
      </c>
    </row>
    <row r="10" spans="1:4" ht="15" customHeight="1" x14ac:dyDescent="0.25">
      <c r="A10" s="329" t="s">
        <v>480</v>
      </c>
      <c r="B10" s="321" t="s">
        <v>35</v>
      </c>
      <c r="C10" s="227">
        <v>121103</v>
      </c>
      <c r="D10" s="328">
        <v>2422064</v>
      </c>
    </row>
    <row r="11" spans="1:4" ht="15" customHeight="1" x14ac:dyDescent="0.25">
      <c r="A11" s="329" t="s">
        <v>481</v>
      </c>
      <c r="B11" s="321" t="s">
        <v>79</v>
      </c>
      <c r="C11" s="227">
        <v>365982</v>
      </c>
      <c r="D11" s="328">
        <v>2439877</v>
      </c>
    </row>
    <row r="12" spans="1:4" ht="15" customHeight="1" x14ac:dyDescent="0.25">
      <c r="A12" s="329" t="s">
        <v>482</v>
      </c>
      <c r="B12" s="321" t="s">
        <v>39</v>
      </c>
      <c r="C12" s="227">
        <v>85005</v>
      </c>
      <c r="D12" s="328">
        <v>1700095</v>
      </c>
    </row>
    <row r="13" spans="1:4" ht="15" customHeight="1" x14ac:dyDescent="0.25">
      <c r="A13" s="329" t="s">
        <v>483</v>
      </c>
      <c r="B13" s="321" t="s">
        <v>37</v>
      </c>
      <c r="C13" s="227">
        <v>0</v>
      </c>
      <c r="D13" s="328">
        <v>0</v>
      </c>
    </row>
    <row r="14" spans="1:4" ht="15" customHeight="1" x14ac:dyDescent="0.25">
      <c r="A14" s="329" t="s">
        <v>484</v>
      </c>
      <c r="B14" s="321" t="s">
        <v>38</v>
      </c>
      <c r="C14" s="227">
        <v>74474</v>
      </c>
      <c r="D14" s="328">
        <v>1489486</v>
      </c>
    </row>
    <row r="15" spans="1:4" ht="15" customHeight="1" x14ac:dyDescent="0.25">
      <c r="A15" s="329" t="s">
        <v>485</v>
      </c>
      <c r="B15" s="321" t="s">
        <v>48</v>
      </c>
      <c r="C15" s="227">
        <v>83958</v>
      </c>
      <c r="D15" s="328">
        <v>1679165</v>
      </c>
    </row>
    <row r="16" spans="1:4" ht="15" customHeight="1" x14ac:dyDescent="0.25">
      <c r="A16" s="329" t="s">
        <v>486</v>
      </c>
      <c r="B16" s="321" t="s">
        <v>49</v>
      </c>
      <c r="C16" s="227">
        <v>85681</v>
      </c>
      <c r="D16" s="328">
        <v>1713612</v>
      </c>
    </row>
    <row r="17" spans="1:4" ht="15" customHeight="1" x14ac:dyDescent="0.25">
      <c r="A17" s="329" t="s">
        <v>487</v>
      </c>
      <c r="B17" s="321" t="s">
        <v>52</v>
      </c>
      <c r="C17" s="227">
        <v>74304</v>
      </c>
      <c r="D17" s="328">
        <v>1486076</v>
      </c>
    </row>
    <row r="18" spans="1:4" ht="15" customHeight="1" x14ac:dyDescent="0.25">
      <c r="A18" s="327" t="s">
        <v>488</v>
      </c>
      <c r="B18" s="321" t="s">
        <v>53</v>
      </c>
      <c r="C18" s="227">
        <v>74531</v>
      </c>
      <c r="D18" s="328">
        <v>1490623</v>
      </c>
    </row>
    <row r="19" spans="1:4" ht="15" customHeight="1" x14ac:dyDescent="0.25">
      <c r="A19" s="329" t="s">
        <v>489</v>
      </c>
      <c r="B19" s="321" t="s">
        <v>55</v>
      </c>
      <c r="C19" s="227">
        <v>60421</v>
      </c>
      <c r="D19" s="328">
        <v>1208422</v>
      </c>
    </row>
    <row r="20" spans="1:4" ht="15" customHeight="1" x14ac:dyDescent="0.25">
      <c r="A20" s="327" t="s">
        <v>490</v>
      </c>
      <c r="B20" s="321" t="s">
        <v>60</v>
      </c>
      <c r="C20" s="227">
        <v>87207</v>
      </c>
      <c r="D20" s="328">
        <v>1744134</v>
      </c>
    </row>
    <row r="21" spans="1:4" ht="15" customHeight="1" x14ac:dyDescent="0.25">
      <c r="A21" s="329" t="s">
        <v>491</v>
      </c>
      <c r="B21" s="321" t="s">
        <v>57</v>
      </c>
      <c r="C21" s="227">
        <v>75781</v>
      </c>
      <c r="D21" s="328">
        <v>1515631</v>
      </c>
    </row>
    <row r="22" spans="1:4" ht="15" customHeight="1" x14ac:dyDescent="0.25">
      <c r="A22" s="329" t="s">
        <v>492</v>
      </c>
      <c r="B22" s="321" t="s">
        <v>62</v>
      </c>
      <c r="C22" s="227">
        <v>73929</v>
      </c>
      <c r="D22" s="328">
        <v>1478498</v>
      </c>
    </row>
    <row r="23" spans="1:4" ht="15" customHeight="1" x14ac:dyDescent="0.25">
      <c r="A23" s="329" t="s">
        <v>493</v>
      </c>
      <c r="B23" s="321" t="s">
        <v>64</v>
      </c>
      <c r="C23" s="227">
        <v>72997</v>
      </c>
      <c r="D23" s="328">
        <v>1459932</v>
      </c>
    </row>
    <row r="24" spans="1:4" ht="15" customHeight="1" x14ac:dyDescent="0.25">
      <c r="A24" s="329" t="s">
        <v>494</v>
      </c>
      <c r="B24" s="321" t="s">
        <v>66</v>
      </c>
      <c r="C24" s="227">
        <v>87076</v>
      </c>
      <c r="D24" s="328">
        <v>1741518</v>
      </c>
    </row>
    <row r="25" spans="1:4" ht="15" customHeight="1" x14ac:dyDescent="0.25">
      <c r="A25" s="329" t="s">
        <v>495</v>
      </c>
      <c r="B25" s="321" t="s">
        <v>68</v>
      </c>
      <c r="C25" s="227">
        <v>75782</v>
      </c>
      <c r="D25" s="328">
        <v>1515631</v>
      </c>
    </row>
    <row r="26" spans="1:4" ht="15" customHeight="1" x14ac:dyDescent="0.25">
      <c r="A26" s="329" t="s">
        <v>496</v>
      </c>
      <c r="B26" s="321" t="s">
        <v>70</v>
      </c>
      <c r="C26" s="227">
        <v>84329</v>
      </c>
      <c r="D26" s="328">
        <v>1686578</v>
      </c>
    </row>
    <row r="27" spans="1:4" ht="15" customHeight="1" x14ac:dyDescent="0.25">
      <c r="A27" s="329" t="s">
        <v>497</v>
      </c>
      <c r="B27" s="321" t="s">
        <v>72</v>
      </c>
      <c r="C27" s="227">
        <v>85179</v>
      </c>
      <c r="D27" s="328">
        <v>1703583</v>
      </c>
    </row>
    <row r="28" spans="1:4" ht="15" customHeight="1" x14ac:dyDescent="0.25">
      <c r="A28" s="329" t="s">
        <v>498</v>
      </c>
      <c r="B28" s="321" t="s">
        <v>76</v>
      </c>
      <c r="C28" s="227">
        <v>74285</v>
      </c>
      <c r="D28" s="328">
        <v>1485697</v>
      </c>
    </row>
    <row r="29" spans="1:4" ht="15" customHeight="1" x14ac:dyDescent="0.25">
      <c r="A29" s="329" t="s">
        <v>499</v>
      </c>
      <c r="B29" s="321" t="s">
        <v>80</v>
      </c>
      <c r="C29" s="227">
        <v>85920</v>
      </c>
      <c r="D29" s="328">
        <v>1718408</v>
      </c>
    </row>
    <row r="30" spans="1:4" ht="15" customHeight="1" x14ac:dyDescent="0.25">
      <c r="A30" s="327" t="s">
        <v>500</v>
      </c>
      <c r="B30" s="321" t="s">
        <v>81</v>
      </c>
      <c r="C30" s="227">
        <v>83108</v>
      </c>
      <c r="D30" s="328">
        <v>1662160</v>
      </c>
    </row>
    <row r="31" spans="1:4" ht="15" customHeight="1" x14ac:dyDescent="0.25">
      <c r="A31" s="330" t="s">
        <v>501</v>
      </c>
      <c r="B31" s="321" t="s">
        <v>82</v>
      </c>
      <c r="C31" s="227">
        <v>75668</v>
      </c>
      <c r="D31" s="328">
        <v>1513358</v>
      </c>
    </row>
    <row r="32" spans="1:4" ht="15" customHeight="1" x14ac:dyDescent="0.25">
      <c r="A32" s="330" t="s">
        <v>502</v>
      </c>
      <c r="B32" s="321" t="s">
        <v>88</v>
      </c>
      <c r="C32" s="227">
        <v>75781</v>
      </c>
      <c r="D32" s="328">
        <v>1515631</v>
      </c>
    </row>
    <row r="33" spans="1:4" ht="15" customHeight="1" x14ac:dyDescent="0.25">
      <c r="A33" s="330" t="s">
        <v>503</v>
      </c>
      <c r="B33" s="321" t="s">
        <v>95</v>
      </c>
      <c r="C33" s="227">
        <v>85769</v>
      </c>
      <c r="D33" s="328">
        <v>1715356</v>
      </c>
    </row>
    <row r="34" spans="1:4" ht="15" customHeight="1" x14ac:dyDescent="0.25">
      <c r="A34" s="330" t="s">
        <v>504</v>
      </c>
      <c r="B34" s="323" t="s">
        <v>132</v>
      </c>
      <c r="C34" s="227">
        <v>74720</v>
      </c>
      <c r="D34" s="328">
        <v>1494412</v>
      </c>
    </row>
    <row r="35" spans="1:4" ht="15" customHeight="1" x14ac:dyDescent="0.25">
      <c r="A35" s="330" t="s">
        <v>505</v>
      </c>
      <c r="B35" s="323" t="s">
        <v>219</v>
      </c>
      <c r="C35" s="227">
        <v>87207</v>
      </c>
      <c r="D35" s="328">
        <v>1744134</v>
      </c>
    </row>
    <row r="36" spans="1:4" ht="15" customHeight="1" x14ac:dyDescent="0.25">
      <c r="A36" s="330" t="s">
        <v>506</v>
      </c>
      <c r="B36" s="323" t="s">
        <v>221</v>
      </c>
      <c r="C36" s="227">
        <v>84154</v>
      </c>
      <c r="D36" s="328">
        <v>1683089</v>
      </c>
    </row>
    <row r="37" spans="1:4" ht="15" customHeight="1" x14ac:dyDescent="0.25">
      <c r="A37" s="330" t="s">
        <v>507</v>
      </c>
      <c r="B37" s="323" t="s">
        <v>223</v>
      </c>
      <c r="C37" s="227">
        <v>0</v>
      </c>
      <c r="D37" s="328">
        <v>1511463</v>
      </c>
    </row>
    <row r="38" spans="1:4" ht="15" customHeight="1" x14ac:dyDescent="0.25">
      <c r="A38" s="330" t="s">
        <v>508</v>
      </c>
      <c r="B38" s="323" t="s">
        <v>225</v>
      </c>
      <c r="C38" s="227">
        <v>61116</v>
      </c>
      <c r="D38" s="328">
        <v>1222327</v>
      </c>
    </row>
    <row r="39" spans="1:4" ht="15" customHeight="1" x14ac:dyDescent="0.25">
      <c r="A39" s="330" t="s">
        <v>509</v>
      </c>
      <c r="B39" s="323" t="s">
        <v>246</v>
      </c>
      <c r="C39" s="227">
        <v>72655</v>
      </c>
      <c r="D39" s="328">
        <v>1453111</v>
      </c>
    </row>
    <row r="40" spans="1:4" ht="15" customHeight="1" x14ac:dyDescent="0.25">
      <c r="A40" s="330" t="s">
        <v>510</v>
      </c>
      <c r="B40" s="323" t="s">
        <v>238</v>
      </c>
      <c r="C40" s="227">
        <v>75782</v>
      </c>
      <c r="D40" s="328">
        <v>1515631</v>
      </c>
    </row>
    <row r="41" spans="1:4" ht="15" customHeight="1" x14ac:dyDescent="0.25">
      <c r="A41" s="330" t="s">
        <v>511</v>
      </c>
      <c r="B41" s="323" t="s">
        <v>241</v>
      </c>
      <c r="C41" s="227">
        <v>85724</v>
      </c>
      <c r="D41" s="328">
        <v>1714484</v>
      </c>
    </row>
    <row r="42" spans="1:4" ht="15" customHeight="1" x14ac:dyDescent="0.25">
      <c r="A42" s="318" t="s">
        <v>512</v>
      </c>
      <c r="B42" s="324" t="s">
        <v>353</v>
      </c>
      <c r="C42" s="227">
        <v>78889</v>
      </c>
      <c r="D42" s="328">
        <v>1577779</v>
      </c>
    </row>
    <row r="43" spans="1:4" ht="15" customHeight="1" x14ac:dyDescent="0.25">
      <c r="A43" s="318" t="s">
        <v>513</v>
      </c>
      <c r="B43" s="324" t="s">
        <v>355</v>
      </c>
      <c r="C43" s="227">
        <v>78651</v>
      </c>
      <c r="D43" s="328">
        <v>1573032</v>
      </c>
    </row>
    <row r="44" spans="1:4" ht="15" customHeight="1" x14ac:dyDescent="0.25">
      <c r="A44" s="318" t="s">
        <v>514</v>
      </c>
      <c r="B44" s="324" t="s">
        <v>356</v>
      </c>
      <c r="C44" s="227">
        <v>78750</v>
      </c>
      <c r="D44" s="328">
        <v>1575010</v>
      </c>
    </row>
    <row r="45" spans="1:4" ht="15" customHeight="1" x14ac:dyDescent="0.25">
      <c r="A45" s="318" t="s">
        <v>515</v>
      </c>
      <c r="B45" s="324" t="s">
        <v>357</v>
      </c>
      <c r="C45" s="227">
        <v>79047</v>
      </c>
      <c r="D45" s="328">
        <v>1580944</v>
      </c>
    </row>
    <row r="46" spans="1:4" ht="15" customHeight="1" x14ac:dyDescent="0.25">
      <c r="A46" s="318" t="s">
        <v>516</v>
      </c>
      <c r="B46" s="324" t="s">
        <v>363</v>
      </c>
      <c r="C46" s="227">
        <v>78691</v>
      </c>
      <c r="D46" s="328">
        <v>1573823</v>
      </c>
    </row>
    <row r="47" spans="1:4" ht="15" customHeight="1" x14ac:dyDescent="0.25">
      <c r="A47" s="318" t="s">
        <v>517</v>
      </c>
      <c r="B47" s="324" t="s">
        <v>364</v>
      </c>
      <c r="C47" s="227">
        <v>78909</v>
      </c>
      <c r="D47" s="328">
        <v>1578175</v>
      </c>
    </row>
    <row r="48" spans="1:4" ht="15" customHeight="1" x14ac:dyDescent="0.25">
      <c r="A48" s="318" t="s">
        <v>518</v>
      </c>
      <c r="B48" s="324" t="s">
        <v>358</v>
      </c>
      <c r="C48" s="227">
        <v>78691</v>
      </c>
      <c r="D48" s="328">
        <v>1573823</v>
      </c>
    </row>
    <row r="49" spans="1:11" ht="15" customHeight="1" x14ac:dyDescent="0.25">
      <c r="A49" s="318" t="s">
        <v>519</v>
      </c>
      <c r="B49" s="324" t="s">
        <v>362</v>
      </c>
      <c r="C49" s="227">
        <v>78572</v>
      </c>
      <c r="D49" s="328">
        <v>1571449</v>
      </c>
      <c r="H49" s="142">
        <v>55328</v>
      </c>
      <c r="K49" s="142">
        <v>1106557</v>
      </c>
    </row>
    <row r="50" spans="1:11" ht="15" customHeight="1" x14ac:dyDescent="0.25">
      <c r="A50" s="318" t="s">
        <v>520</v>
      </c>
      <c r="B50" s="324" t="s">
        <v>366</v>
      </c>
      <c r="C50" s="227">
        <v>79008</v>
      </c>
      <c r="D50" s="328">
        <v>1580153</v>
      </c>
      <c r="H50" s="142">
        <v>55328</v>
      </c>
      <c r="I50" s="51">
        <f>SUM(H49:H50)</f>
        <v>110656</v>
      </c>
      <c r="J50" s="51">
        <v>110656</v>
      </c>
      <c r="K50" s="142">
        <v>1106557</v>
      </c>
    </row>
    <row r="51" spans="1:11" ht="15" customHeight="1" x14ac:dyDescent="0.25">
      <c r="A51" s="318" t="s">
        <v>521</v>
      </c>
      <c r="B51" s="324" t="s">
        <v>367</v>
      </c>
      <c r="C51" s="227">
        <v>78770</v>
      </c>
      <c r="D51" s="328">
        <v>1575406</v>
      </c>
      <c r="H51" s="142">
        <v>165983</v>
      </c>
      <c r="I51" s="51">
        <f>SUM(H51:H52)</f>
        <v>331966</v>
      </c>
      <c r="J51" s="51">
        <v>331967</v>
      </c>
    </row>
    <row r="52" spans="1:11" ht="15" customHeight="1" x14ac:dyDescent="0.25">
      <c r="A52" s="318" t="s">
        <v>522</v>
      </c>
      <c r="B52" s="324" t="s">
        <v>368</v>
      </c>
      <c r="C52" s="227">
        <v>78810</v>
      </c>
      <c r="D52" s="328">
        <v>1576197</v>
      </c>
      <c r="H52" s="142">
        <v>165983</v>
      </c>
      <c r="I52" s="51">
        <f>SUM(I50:I51)</f>
        <v>442622</v>
      </c>
      <c r="J52" s="51">
        <f>SUM(J50:J51)</f>
        <v>442623</v>
      </c>
    </row>
    <row r="53" spans="1:11" ht="15" customHeight="1" x14ac:dyDescent="0.25">
      <c r="A53" s="318" t="s">
        <v>523</v>
      </c>
      <c r="B53" s="324" t="s">
        <v>369</v>
      </c>
      <c r="C53" s="227">
        <v>78256</v>
      </c>
      <c r="D53" s="328">
        <v>1565119</v>
      </c>
      <c r="H53" s="51">
        <f>SUM(H49:H52)</f>
        <v>442622</v>
      </c>
    </row>
    <row r="54" spans="1:11" ht="15" customHeight="1" x14ac:dyDescent="0.25">
      <c r="A54" s="318" t="s">
        <v>524</v>
      </c>
      <c r="B54" s="324" t="s">
        <v>360</v>
      </c>
      <c r="C54" s="227">
        <v>79008</v>
      </c>
      <c r="D54" s="328">
        <v>1580153</v>
      </c>
    </row>
    <row r="55" spans="1:11" x14ac:dyDescent="0.25">
      <c r="B55" s="193"/>
      <c r="C55" s="326">
        <f>SUM(C2:C54)</f>
        <v>7085687</v>
      </c>
      <c r="D55" s="158">
        <f>SUM(D2:D54)</f>
        <v>99441276</v>
      </c>
    </row>
  </sheetData>
  <pageMargins left="0.32" right="0.7" top="0.75" bottom="0.75" header="0.3" footer="0.3"/>
  <pageSetup paperSize="1000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Tabel_Perhitungan</vt:lpstr>
      <vt:lpstr>PK PNS</vt:lpstr>
      <vt:lpstr>TPP BK</vt:lpstr>
      <vt:lpstr>TPP KK</vt:lpstr>
      <vt:lpstr>TPP REKAP BK&amp;KK</vt:lpstr>
      <vt:lpstr>Sheet1</vt:lpstr>
      <vt:lpstr>REKENING</vt:lpstr>
      <vt:lpstr>Sheet4</vt:lpstr>
      <vt:lpstr>Sheet2</vt:lpstr>
      <vt:lpstr>Sheet3</vt:lpstr>
      <vt:lpstr>Sheet5</vt:lpstr>
      <vt:lpstr>'PK PNS'!Print_Titles</vt:lpstr>
      <vt:lpstr>REKENING!Print_Titles</vt:lpstr>
      <vt:lpstr>Tabel_Perhitungan!Print_Titles</vt:lpstr>
      <vt:lpstr>'TPP BK'!Print_Titles</vt:lpstr>
      <vt:lpstr>'TPP KK'!Print_Titles</vt:lpstr>
      <vt:lpstr>'TPP REKAP BK&amp;KK'!Print_Titles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2026-09-28T07:11:04Z</cp:lastPrinted>
  <dcterms:created xsi:type="dcterms:W3CDTF">2020-05-17T05:20:33Z</dcterms:created>
  <dcterms:modified xsi:type="dcterms:W3CDTF">2026-10-06T04:03:22Z</dcterms:modified>
</cp:coreProperties>
</file>